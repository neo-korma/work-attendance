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ep_nas1\만성요양과\★2026년\06. 근무표\1월\"/>
    </mc:Choice>
  </mc:AlternateContent>
  <xr:revisionPtr revIDLastSave="0" documentId="13_ncr:1_{15B42C53-64FC-422D-A118-99154725BD9C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11월(10.29.수)" sheetId="14" r:id="rId1"/>
    <sheet name="12월(12.01.월)" sheetId="15" r:id="rId2"/>
    <sheet name="2026.01" sheetId="16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20" i="16" l="1"/>
  <c r="AP18" i="16"/>
  <c r="AP8" i="16" l="1"/>
  <c r="AP15" i="16" l="1"/>
  <c r="AP14" i="16"/>
  <c r="AP11" i="16"/>
  <c r="AP9" i="16"/>
  <c r="AO15" i="16"/>
  <c r="AN15" i="16"/>
  <c r="AM15" i="16"/>
  <c r="AL15" i="16"/>
  <c r="AK15" i="16"/>
  <c r="AR15" i="16" s="1"/>
  <c r="AJ15" i="16"/>
  <c r="AI15" i="16"/>
  <c r="AH15" i="16"/>
  <c r="AO14" i="16"/>
  <c r="AN14" i="16"/>
  <c r="AM14" i="16"/>
  <c r="AL14" i="16"/>
  <c r="AK14" i="16"/>
  <c r="AR14" i="16" s="1"/>
  <c r="AJ14" i="16"/>
  <c r="AI14" i="16"/>
  <c r="AH14" i="16"/>
  <c r="AO24" i="16"/>
  <c r="AN24" i="16"/>
  <c r="AM24" i="16"/>
  <c r="AL24" i="16"/>
  <c r="AK24" i="16"/>
  <c r="AR24" i="16" s="1"/>
  <c r="AJ24" i="16"/>
  <c r="AI24" i="16"/>
  <c r="AH24" i="16"/>
  <c r="AO20" i="16"/>
  <c r="AN20" i="16"/>
  <c r="AM20" i="16"/>
  <c r="AL20" i="16"/>
  <c r="AK20" i="16"/>
  <c r="AR20" i="16" s="1"/>
  <c r="AJ20" i="16"/>
  <c r="AI20" i="16"/>
  <c r="AH20" i="16"/>
  <c r="AO23" i="16"/>
  <c r="AN23" i="16"/>
  <c r="AM23" i="16"/>
  <c r="AL23" i="16"/>
  <c r="AK23" i="16"/>
  <c r="AR23" i="16" s="1"/>
  <c r="AJ23" i="16"/>
  <c r="AI23" i="16"/>
  <c r="AH23" i="16"/>
  <c r="AP23" i="16" s="1"/>
  <c r="AO13" i="16"/>
  <c r="AN13" i="16"/>
  <c r="AM13" i="16"/>
  <c r="AL13" i="16"/>
  <c r="AK13" i="16"/>
  <c r="AR13" i="16" s="1"/>
  <c r="AJ13" i="16"/>
  <c r="AI13" i="16"/>
  <c r="AH13" i="16"/>
  <c r="AO9" i="16"/>
  <c r="AN9" i="16"/>
  <c r="AM9" i="16"/>
  <c r="AL9" i="16"/>
  <c r="AK9" i="16"/>
  <c r="AR9" i="16" s="1"/>
  <c r="AJ9" i="16"/>
  <c r="AI9" i="16"/>
  <c r="AH9" i="16"/>
  <c r="Z27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AG37" i="16"/>
  <c r="AF37" i="16"/>
  <c r="AE37" i="16"/>
  <c r="AD37" i="16"/>
  <c r="AC37" i="16"/>
  <c r="AB37" i="16"/>
  <c r="AA37" i="16"/>
  <c r="Z37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AG36" i="16"/>
  <c r="AF36" i="16"/>
  <c r="AE36" i="16"/>
  <c r="AD36" i="16"/>
  <c r="AC36" i="16"/>
  <c r="AB36" i="16"/>
  <c r="AA36" i="16"/>
  <c r="Z36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AG27" i="16"/>
  <c r="AF27" i="16"/>
  <c r="AE27" i="16"/>
  <c r="AD27" i="16"/>
  <c r="AC27" i="16"/>
  <c r="AB27" i="16"/>
  <c r="AA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AO26" i="16"/>
  <c r="AN26" i="16"/>
  <c r="AM26" i="16"/>
  <c r="AL26" i="16"/>
  <c r="AK26" i="16"/>
  <c r="AR26" i="16" s="1"/>
  <c r="AJ26" i="16"/>
  <c r="AI26" i="16"/>
  <c r="AH26" i="16"/>
  <c r="AO25" i="16"/>
  <c r="AN25" i="16"/>
  <c r="AM25" i="16"/>
  <c r="AL25" i="16"/>
  <c r="AK25" i="16"/>
  <c r="AR25" i="16" s="1"/>
  <c r="AJ25" i="16"/>
  <c r="AI25" i="16"/>
  <c r="AH25" i="16"/>
  <c r="AO22" i="16"/>
  <c r="AN22" i="16"/>
  <c r="AM22" i="16"/>
  <c r="AL22" i="16"/>
  <c r="AK22" i="16"/>
  <c r="AR22" i="16" s="1"/>
  <c r="AJ22" i="16"/>
  <c r="AI22" i="16"/>
  <c r="AH22" i="16"/>
  <c r="AO21" i="16"/>
  <c r="AN21" i="16"/>
  <c r="AM21" i="16"/>
  <c r="AL21" i="16"/>
  <c r="AK21" i="16"/>
  <c r="AR21" i="16" s="1"/>
  <c r="AJ21" i="16"/>
  <c r="AI21" i="16"/>
  <c r="AH21" i="16"/>
  <c r="AO19" i="16"/>
  <c r="AN19" i="16"/>
  <c r="AM19" i="16"/>
  <c r="AL19" i="16"/>
  <c r="AK19" i="16"/>
  <c r="AR19" i="16" s="1"/>
  <c r="AJ19" i="16"/>
  <c r="AI19" i="16"/>
  <c r="AH19" i="16"/>
  <c r="AO18" i="16"/>
  <c r="AM18" i="16"/>
  <c r="AL18" i="16"/>
  <c r="AK18" i="16"/>
  <c r="AR18" i="16" s="1"/>
  <c r="AJ18" i="16"/>
  <c r="AI18" i="16"/>
  <c r="AH18" i="16"/>
  <c r="AO17" i="16"/>
  <c r="AM17" i="16"/>
  <c r="AL17" i="16"/>
  <c r="AK17" i="16"/>
  <c r="AR17" i="16" s="1"/>
  <c r="AJ17" i="16"/>
  <c r="AI17" i="16"/>
  <c r="AH17" i="16"/>
  <c r="AO16" i="16"/>
  <c r="AN16" i="16"/>
  <c r="AM16" i="16"/>
  <c r="AL16" i="16"/>
  <c r="AK16" i="16"/>
  <c r="AR16" i="16" s="1"/>
  <c r="AJ16" i="16"/>
  <c r="AI16" i="16"/>
  <c r="AH16" i="16"/>
  <c r="AO12" i="16"/>
  <c r="AN12" i="16"/>
  <c r="AM12" i="16"/>
  <c r="AL12" i="16"/>
  <c r="AK12" i="16"/>
  <c r="AR12" i="16" s="1"/>
  <c r="AJ12" i="16"/>
  <c r="AI12" i="16"/>
  <c r="AH12" i="16"/>
  <c r="AO11" i="16"/>
  <c r="AN11" i="16"/>
  <c r="AM11" i="16"/>
  <c r="AL11" i="16"/>
  <c r="AK11" i="16"/>
  <c r="AR11" i="16" s="1"/>
  <c r="AJ11" i="16"/>
  <c r="AI11" i="16"/>
  <c r="AH11" i="16"/>
  <c r="AO10" i="16"/>
  <c r="AN10" i="16"/>
  <c r="AM10" i="16"/>
  <c r="AL10" i="16"/>
  <c r="AK10" i="16"/>
  <c r="AR10" i="16" s="1"/>
  <c r="AJ10" i="16"/>
  <c r="AI10" i="16"/>
  <c r="AH10" i="16"/>
  <c r="AO8" i="16"/>
  <c r="AN8" i="16"/>
  <c r="AM8" i="16"/>
  <c r="AL8" i="16"/>
  <c r="AK8" i="16"/>
  <c r="AR8" i="16" s="1"/>
  <c r="AJ8" i="16"/>
  <c r="AI8" i="16"/>
  <c r="AH8" i="16"/>
  <c r="AO7" i="16"/>
  <c r="AN7" i="16"/>
  <c r="AM7" i="16"/>
  <c r="AL7" i="16"/>
  <c r="AK7" i="16"/>
  <c r="AR7" i="16" s="1"/>
  <c r="AJ7" i="16"/>
  <c r="AI7" i="16"/>
  <c r="AH7" i="16"/>
  <c r="AF27" i="15"/>
  <c r="AF39" i="15"/>
  <c r="AF38" i="15"/>
  <c r="AF37" i="15"/>
  <c r="AF36" i="15"/>
  <c r="AH8" i="15"/>
  <c r="AP24" i="16" l="1"/>
  <c r="AQ24" i="16" s="1"/>
  <c r="AT24" i="16" s="1"/>
  <c r="AP10" i="16"/>
  <c r="AQ10" i="16" s="1"/>
  <c r="AT10" i="16" s="1"/>
  <c r="AQ18" i="16"/>
  <c r="AT18" i="16" s="1"/>
  <c r="AQ8" i="16"/>
  <c r="AT8" i="16" s="1"/>
  <c r="AQ15" i="16"/>
  <c r="AT15" i="16" s="1"/>
  <c r="AP21" i="16"/>
  <c r="AP16" i="16"/>
  <c r="AQ16" i="16" s="1"/>
  <c r="AT16" i="16" s="1"/>
  <c r="AQ23" i="16"/>
  <c r="AT23" i="16" s="1"/>
  <c r="AP26" i="16"/>
  <c r="AQ26" i="16" s="1"/>
  <c r="AT26" i="16" s="1"/>
  <c r="AQ20" i="16"/>
  <c r="AT20" i="16" s="1"/>
  <c r="AQ11" i="16"/>
  <c r="AT11" i="16" s="1"/>
  <c r="AQ9" i="16"/>
  <c r="AT9" i="16" s="1"/>
  <c r="AQ14" i="16"/>
  <c r="AT14" i="16" s="1"/>
  <c r="AP13" i="16"/>
  <c r="AQ13" i="16" s="1"/>
  <c r="AT13" i="16" s="1"/>
  <c r="AP17" i="16"/>
  <c r="AQ17" i="16" s="1"/>
  <c r="AT17" i="16" s="1"/>
  <c r="E40" i="16"/>
  <c r="Q40" i="16"/>
  <c r="AC40" i="16"/>
  <c r="I40" i="16"/>
  <c r="U40" i="16"/>
  <c r="AG40" i="16"/>
  <c r="J40" i="16"/>
  <c r="V40" i="16"/>
  <c r="AB40" i="16"/>
  <c r="AD40" i="16"/>
  <c r="R40" i="16"/>
  <c r="F40" i="16"/>
  <c r="H40" i="16"/>
  <c r="T40" i="16"/>
  <c r="AF40" i="16"/>
  <c r="AP12" i="16"/>
  <c r="AQ12" i="16" s="1"/>
  <c r="AT12" i="16" s="1"/>
  <c r="AP19" i="16"/>
  <c r="AQ19" i="16" s="1"/>
  <c r="AT19" i="16" s="1"/>
  <c r="C40" i="16"/>
  <c r="O40" i="16"/>
  <c r="AA40" i="16"/>
  <c r="G40" i="16"/>
  <c r="S40" i="16"/>
  <c r="AE40" i="16"/>
  <c r="AP25" i="16"/>
  <c r="AQ25" i="16" s="1"/>
  <c r="AT25" i="16" s="1"/>
  <c r="K40" i="16"/>
  <c r="W40" i="16"/>
  <c r="AP7" i="16"/>
  <c r="AQ7" i="16" s="1"/>
  <c r="AT7" i="16" s="1"/>
  <c r="L40" i="16"/>
  <c r="X40" i="16"/>
  <c r="M40" i="16"/>
  <c r="Y40" i="16"/>
  <c r="AP22" i="16"/>
  <c r="AQ22" i="16" s="1"/>
  <c r="AT22" i="16" s="1"/>
  <c r="N40" i="16"/>
  <c r="Z40" i="16"/>
  <c r="D40" i="16"/>
  <c r="P40" i="16"/>
  <c r="AQ21" i="16"/>
  <c r="AT21" i="16" s="1"/>
  <c r="AF40" i="15"/>
  <c r="AG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AG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AG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AG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AG27" i="15"/>
  <c r="AE27" i="15"/>
  <c r="AD27" i="15"/>
  <c r="AC27" i="15"/>
  <c r="AB27" i="15"/>
  <c r="AA27" i="15"/>
  <c r="Z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AO26" i="15"/>
  <c r="AN26" i="15"/>
  <c r="AM26" i="15"/>
  <c r="AL26" i="15"/>
  <c r="AK26" i="15"/>
  <c r="AR26" i="15" s="1"/>
  <c r="AJ26" i="15"/>
  <c r="AI26" i="15"/>
  <c r="AH26" i="15"/>
  <c r="AP26" i="15" s="1"/>
  <c r="AO25" i="15"/>
  <c r="AN25" i="15"/>
  <c r="AM25" i="15"/>
  <c r="AL25" i="15"/>
  <c r="AK25" i="15"/>
  <c r="AR25" i="15" s="1"/>
  <c r="AJ25" i="15"/>
  <c r="AI25" i="15"/>
  <c r="AH25" i="15"/>
  <c r="AO24" i="15"/>
  <c r="AN24" i="15"/>
  <c r="AM24" i="15"/>
  <c r="AL24" i="15"/>
  <c r="AK24" i="15"/>
  <c r="AR24" i="15" s="1"/>
  <c r="AJ24" i="15"/>
  <c r="AI24" i="15"/>
  <c r="AH24" i="15"/>
  <c r="AO23" i="15"/>
  <c r="AN23" i="15"/>
  <c r="AM23" i="15"/>
  <c r="AL23" i="15"/>
  <c r="AK23" i="15"/>
  <c r="AR23" i="15" s="1"/>
  <c r="AJ23" i="15"/>
  <c r="AI23" i="15"/>
  <c r="AH23" i="15"/>
  <c r="AO22" i="15"/>
  <c r="AN22" i="15"/>
  <c r="AM22" i="15"/>
  <c r="AL22" i="15"/>
  <c r="AK22" i="15"/>
  <c r="AR22" i="15" s="1"/>
  <c r="AJ22" i="15"/>
  <c r="AI22" i="15"/>
  <c r="AH22" i="15"/>
  <c r="AP22" i="15" s="1"/>
  <c r="AO21" i="15"/>
  <c r="AN21" i="15"/>
  <c r="AM21" i="15"/>
  <c r="AL21" i="15"/>
  <c r="AK21" i="15"/>
  <c r="AR21" i="15" s="1"/>
  <c r="AJ21" i="15"/>
  <c r="AI21" i="15"/>
  <c r="AH21" i="15"/>
  <c r="AO20" i="15"/>
  <c r="AN20" i="15"/>
  <c r="AM20" i="15"/>
  <c r="AL20" i="15"/>
  <c r="AK20" i="15"/>
  <c r="AR20" i="15" s="1"/>
  <c r="AJ20" i="15"/>
  <c r="AI20" i="15"/>
  <c r="AH20" i="15"/>
  <c r="AO19" i="15"/>
  <c r="AN19" i="15"/>
  <c r="AM19" i="15"/>
  <c r="AL19" i="15"/>
  <c r="AK19" i="15"/>
  <c r="AR19" i="15" s="1"/>
  <c r="AJ19" i="15"/>
  <c r="AI19" i="15"/>
  <c r="AH19" i="15"/>
  <c r="AO18" i="15"/>
  <c r="AM18" i="15"/>
  <c r="AL18" i="15"/>
  <c r="AK18" i="15"/>
  <c r="AR18" i="15" s="1"/>
  <c r="AT18" i="15" s="1"/>
  <c r="AJ18" i="15"/>
  <c r="AI18" i="15"/>
  <c r="AH18" i="15"/>
  <c r="AO17" i="15"/>
  <c r="AM17" i="15"/>
  <c r="AL17" i="15"/>
  <c r="AK17" i="15"/>
  <c r="AR17" i="15" s="1"/>
  <c r="AJ17" i="15"/>
  <c r="AI17" i="15"/>
  <c r="AH17" i="15"/>
  <c r="AP17" i="15" s="1"/>
  <c r="AO16" i="15"/>
  <c r="AN16" i="15"/>
  <c r="AM16" i="15"/>
  <c r="AL16" i="15"/>
  <c r="AK16" i="15"/>
  <c r="AR16" i="15" s="1"/>
  <c r="AJ16" i="15"/>
  <c r="AI16" i="15"/>
  <c r="AH16" i="15"/>
  <c r="AP16" i="15" s="1"/>
  <c r="AO15" i="15"/>
  <c r="AN15" i="15"/>
  <c r="AM15" i="15"/>
  <c r="AL15" i="15"/>
  <c r="AK15" i="15"/>
  <c r="AR15" i="15" s="1"/>
  <c r="AJ15" i="15"/>
  <c r="AI15" i="15"/>
  <c r="AH15" i="15"/>
  <c r="AO14" i="15"/>
  <c r="AN14" i="15"/>
  <c r="AM14" i="15"/>
  <c r="AL14" i="15"/>
  <c r="AK14" i="15"/>
  <c r="AR14" i="15" s="1"/>
  <c r="AJ14" i="15"/>
  <c r="AI14" i="15"/>
  <c r="AH14" i="15"/>
  <c r="AO13" i="15"/>
  <c r="AN13" i="15"/>
  <c r="AM13" i="15"/>
  <c r="AL13" i="15"/>
  <c r="AK13" i="15"/>
  <c r="AR13" i="15" s="1"/>
  <c r="AJ13" i="15"/>
  <c r="AI13" i="15"/>
  <c r="AH13" i="15"/>
  <c r="AP13" i="15" s="1"/>
  <c r="AO12" i="15"/>
  <c r="AN12" i="15"/>
  <c r="AM12" i="15"/>
  <c r="AL12" i="15"/>
  <c r="AK12" i="15"/>
  <c r="AJ12" i="15"/>
  <c r="AI12" i="15"/>
  <c r="AH12" i="15"/>
  <c r="AO11" i="15"/>
  <c r="AN11" i="15"/>
  <c r="AM11" i="15"/>
  <c r="AL11" i="15"/>
  <c r="AK11" i="15"/>
  <c r="AR11" i="15" s="1"/>
  <c r="AJ11" i="15"/>
  <c r="AI11" i="15"/>
  <c r="AH11" i="15"/>
  <c r="AO10" i="15"/>
  <c r="AN10" i="15"/>
  <c r="AM10" i="15"/>
  <c r="AL10" i="15"/>
  <c r="AK10" i="15"/>
  <c r="AR10" i="15" s="1"/>
  <c r="AJ10" i="15"/>
  <c r="AI10" i="15"/>
  <c r="AH10" i="15"/>
  <c r="AO9" i="15"/>
  <c r="AN9" i="15"/>
  <c r="AM9" i="15"/>
  <c r="AL9" i="15"/>
  <c r="AK9" i="15"/>
  <c r="AR9" i="15" s="1"/>
  <c r="AJ9" i="15"/>
  <c r="AI9" i="15"/>
  <c r="AH9" i="15"/>
  <c r="AO8" i="15"/>
  <c r="AN8" i="15"/>
  <c r="AM8" i="15"/>
  <c r="AL8" i="15"/>
  <c r="AK8" i="15"/>
  <c r="AR8" i="15" s="1"/>
  <c r="AJ8" i="15"/>
  <c r="AI8" i="15"/>
  <c r="AP8" i="15" s="1"/>
  <c r="AO7" i="15"/>
  <c r="AN7" i="15"/>
  <c r="AM7" i="15"/>
  <c r="AL7" i="15"/>
  <c r="AK7" i="15"/>
  <c r="AR7" i="15" s="1"/>
  <c r="AJ7" i="15"/>
  <c r="AI7" i="15"/>
  <c r="AH7" i="15"/>
  <c r="F27" i="14"/>
  <c r="G27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AF36" i="14"/>
  <c r="AE36" i="14"/>
  <c r="AD36" i="14"/>
  <c r="AD40" i="14" s="1"/>
  <c r="AC36" i="14"/>
  <c r="AB36" i="14"/>
  <c r="AB40" i="14" s="1"/>
  <c r="AA36" i="14"/>
  <c r="AA40" i="14" s="1"/>
  <c r="Z36" i="14"/>
  <c r="Y36" i="14"/>
  <c r="X36" i="14"/>
  <c r="W36" i="14"/>
  <c r="V36" i="14"/>
  <c r="U36" i="14"/>
  <c r="T36" i="14"/>
  <c r="S36" i="14"/>
  <c r="R36" i="14"/>
  <c r="R40" i="14" s="1"/>
  <c r="Q36" i="14"/>
  <c r="P36" i="14"/>
  <c r="P40" i="14" s="1"/>
  <c r="O36" i="14"/>
  <c r="N36" i="14"/>
  <c r="M36" i="14"/>
  <c r="L36" i="14"/>
  <c r="K36" i="14"/>
  <c r="J36" i="14"/>
  <c r="I36" i="14"/>
  <c r="H36" i="14"/>
  <c r="G36" i="14"/>
  <c r="F36" i="14"/>
  <c r="E36" i="14"/>
  <c r="D36" i="14"/>
  <c r="D40" i="14" s="1"/>
  <c r="C36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E27" i="14"/>
  <c r="D27" i="14"/>
  <c r="C27" i="14"/>
  <c r="AN26" i="14"/>
  <c r="AM26" i="14"/>
  <c r="AL26" i="14"/>
  <c r="AK26" i="14"/>
  <c r="AJ26" i="14"/>
  <c r="AQ26" i="14" s="1"/>
  <c r="AI26" i="14"/>
  <c r="AH26" i="14"/>
  <c r="AG26" i="14"/>
  <c r="AO26" i="14" s="1"/>
  <c r="AN25" i="14"/>
  <c r="AM25" i="14"/>
  <c r="AL25" i="14"/>
  <c r="AK25" i="14"/>
  <c r="AJ25" i="14"/>
  <c r="AQ25" i="14" s="1"/>
  <c r="AI25" i="14"/>
  <c r="AH25" i="14"/>
  <c r="AG25" i="14"/>
  <c r="AN24" i="14"/>
  <c r="AM24" i="14"/>
  <c r="AL24" i="14"/>
  <c r="AK24" i="14"/>
  <c r="AJ24" i="14"/>
  <c r="AQ24" i="14" s="1"/>
  <c r="AI24" i="14"/>
  <c r="AH24" i="14"/>
  <c r="AG24" i="14"/>
  <c r="AO24" i="14" s="1"/>
  <c r="AN23" i="14"/>
  <c r="AM23" i="14"/>
  <c r="AL23" i="14"/>
  <c r="AK23" i="14"/>
  <c r="AJ23" i="14"/>
  <c r="AQ23" i="14" s="1"/>
  <c r="AI23" i="14"/>
  <c r="AH23" i="14"/>
  <c r="AG23" i="14"/>
  <c r="AO23" i="14" s="1"/>
  <c r="AN22" i="14"/>
  <c r="AM22" i="14"/>
  <c r="AL22" i="14"/>
  <c r="AK22" i="14"/>
  <c r="AJ22" i="14"/>
  <c r="AQ22" i="14" s="1"/>
  <c r="AI22" i="14"/>
  <c r="AH22" i="14"/>
  <c r="AG22" i="14"/>
  <c r="AN21" i="14"/>
  <c r="AM21" i="14"/>
  <c r="AL21" i="14"/>
  <c r="AK21" i="14"/>
  <c r="AJ21" i="14"/>
  <c r="AQ21" i="14" s="1"/>
  <c r="AI21" i="14"/>
  <c r="AH21" i="14"/>
  <c r="AG21" i="14"/>
  <c r="AN20" i="14"/>
  <c r="AM20" i="14"/>
  <c r="AL20" i="14"/>
  <c r="AK20" i="14"/>
  <c r="AJ20" i="14"/>
  <c r="AQ20" i="14" s="1"/>
  <c r="AI20" i="14"/>
  <c r="AH20" i="14"/>
  <c r="AG20" i="14"/>
  <c r="AN19" i="14"/>
  <c r="AM19" i="14"/>
  <c r="AL19" i="14"/>
  <c r="AK19" i="14"/>
  <c r="AJ19" i="14"/>
  <c r="AQ19" i="14" s="1"/>
  <c r="AI19" i="14"/>
  <c r="AH19" i="14"/>
  <c r="AG19" i="14"/>
  <c r="AO19" i="14" s="1"/>
  <c r="AP19" i="14" s="1"/>
  <c r="AS19" i="14" s="1"/>
  <c r="AN18" i="14"/>
  <c r="AL18" i="14"/>
  <c r="AK18" i="14"/>
  <c r="AJ18" i="14"/>
  <c r="AQ18" i="14" s="1"/>
  <c r="AS18" i="14" s="1"/>
  <c r="AI18" i="14"/>
  <c r="AH18" i="14"/>
  <c r="AG18" i="14"/>
  <c r="AO18" i="14" s="1"/>
  <c r="AN17" i="14"/>
  <c r="AL17" i="14"/>
  <c r="AK17" i="14"/>
  <c r="AJ17" i="14"/>
  <c r="AQ17" i="14" s="1"/>
  <c r="AI17" i="14"/>
  <c r="AH17" i="14"/>
  <c r="AG17" i="14"/>
  <c r="AO17" i="14" s="1"/>
  <c r="AN16" i="14"/>
  <c r="AM16" i="14"/>
  <c r="AL16" i="14"/>
  <c r="AK16" i="14"/>
  <c r="AJ16" i="14"/>
  <c r="AQ16" i="14" s="1"/>
  <c r="AI16" i="14"/>
  <c r="AH16" i="14"/>
  <c r="AG16" i="14"/>
  <c r="AO16" i="14" s="1"/>
  <c r="AN15" i="14"/>
  <c r="AM15" i="14"/>
  <c r="AL15" i="14"/>
  <c r="AK15" i="14"/>
  <c r="AJ15" i="14"/>
  <c r="AQ15" i="14" s="1"/>
  <c r="AI15" i="14"/>
  <c r="AH15" i="14"/>
  <c r="AG15" i="14"/>
  <c r="AN14" i="14"/>
  <c r="AM14" i="14"/>
  <c r="AL14" i="14"/>
  <c r="AK14" i="14"/>
  <c r="AJ14" i="14"/>
  <c r="AQ14" i="14" s="1"/>
  <c r="AI14" i="14"/>
  <c r="AH14" i="14"/>
  <c r="AG14" i="14"/>
  <c r="AO14" i="14" s="1"/>
  <c r="AN13" i="14"/>
  <c r="AM13" i="14"/>
  <c r="AL13" i="14"/>
  <c r="AK13" i="14"/>
  <c r="AJ13" i="14"/>
  <c r="AQ13" i="14" s="1"/>
  <c r="AI13" i="14"/>
  <c r="AH13" i="14"/>
  <c r="AG13" i="14"/>
  <c r="AN12" i="14"/>
  <c r="AM12" i="14"/>
  <c r="AL12" i="14"/>
  <c r="AK12" i="14"/>
  <c r="AJ12" i="14"/>
  <c r="AQ12" i="14" s="1"/>
  <c r="AI12" i="14"/>
  <c r="AH12" i="14"/>
  <c r="AG12" i="14"/>
  <c r="AO12" i="14" s="1"/>
  <c r="AN11" i="14"/>
  <c r="AM11" i="14"/>
  <c r="AL11" i="14"/>
  <c r="AK11" i="14"/>
  <c r="AJ11" i="14"/>
  <c r="AQ11" i="14" s="1"/>
  <c r="AI11" i="14"/>
  <c r="AH11" i="14"/>
  <c r="AG11" i="14"/>
  <c r="AO11" i="14" s="1"/>
  <c r="AN10" i="14"/>
  <c r="AM10" i="14"/>
  <c r="AL10" i="14"/>
  <c r="AK10" i="14"/>
  <c r="AJ10" i="14"/>
  <c r="AQ10" i="14" s="1"/>
  <c r="AI10" i="14"/>
  <c r="AH10" i="14"/>
  <c r="AG10" i="14"/>
  <c r="AO10" i="14" s="1"/>
  <c r="AN9" i="14"/>
  <c r="AM9" i="14"/>
  <c r="AL9" i="14"/>
  <c r="AK9" i="14"/>
  <c r="AJ9" i="14"/>
  <c r="AQ9" i="14" s="1"/>
  <c r="AI9" i="14"/>
  <c r="AH9" i="14"/>
  <c r="AG9" i="14"/>
  <c r="AO9" i="14" s="1"/>
  <c r="AN8" i="14"/>
  <c r="AM8" i="14"/>
  <c r="AL8" i="14"/>
  <c r="AK8" i="14"/>
  <c r="AJ8" i="14"/>
  <c r="AQ8" i="14" s="1"/>
  <c r="AI8" i="14"/>
  <c r="AH8" i="14"/>
  <c r="AG8" i="14"/>
  <c r="AO8" i="14" s="1"/>
  <c r="AN7" i="14"/>
  <c r="AM7" i="14"/>
  <c r="AL7" i="14"/>
  <c r="AK7" i="14"/>
  <c r="AJ7" i="14"/>
  <c r="AQ7" i="14" s="1"/>
  <c r="AI7" i="14"/>
  <c r="AH7" i="14"/>
  <c r="AG7" i="14"/>
  <c r="AO7" i="14" s="1"/>
  <c r="AP7" i="14" s="1"/>
  <c r="AS7" i="14" s="1"/>
  <c r="AQ8" i="15" l="1"/>
  <c r="AT8" i="15" s="1"/>
  <c r="AP9" i="15"/>
  <c r="AQ9" i="15" s="1"/>
  <c r="AT9" i="15" s="1"/>
  <c r="AP14" i="15"/>
  <c r="AQ14" i="15" s="1"/>
  <c r="AT14" i="15" s="1"/>
  <c r="L40" i="15"/>
  <c r="M40" i="15"/>
  <c r="Y40" i="15"/>
  <c r="Z40" i="15"/>
  <c r="N40" i="15"/>
  <c r="K40" i="15"/>
  <c r="AB40" i="15"/>
  <c r="P40" i="15"/>
  <c r="O40" i="15"/>
  <c r="W40" i="15"/>
  <c r="AA40" i="15"/>
  <c r="X40" i="15"/>
  <c r="D40" i="15"/>
  <c r="C40" i="15"/>
  <c r="AP25" i="15"/>
  <c r="AQ25" i="15" s="1"/>
  <c r="AT25" i="15" s="1"/>
  <c r="F40" i="15"/>
  <c r="R40" i="15"/>
  <c r="AD40" i="15"/>
  <c r="AP12" i="15"/>
  <c r="AQ12" i="15" s="1"/>
  <c r="AP7" i="15"/>
  <c r="AQ7" i="15" s="1"/>
  <c r="AT7" i="15" s="1"/>
  <c r="AP21" i="15"/>
  <c r="AQ21" i="15" s="1"/>
  <c r="AT21" i="15" s="1"/>
  <c r="AP15" i="15"/>
  <c r="AQ15" i="15" s="1"/>
  <c r="AT15" i="15" s="1"/>
  <c r="AP18" i="15"/>
  <c r="AP24" i="15"/>
  <c r="AQ24" i="15" s="1"/>
  <c r="AT24" i="15" s="1"/>
  <c r="AQ16" i="15"/>
  <c r="AT16" i="15" s="1"/>
  <c r="AP11" i="15"/>
  <c r="AQ11" i="15" s="1"/>
  <c r="AT11" i="15" s="1"/>
  <c r="AQ17" i="15"/>
  <c r="AT17" i="15" s="1"/>
  <c r="AP23" i="15"/>
  <c r="AQ23" i="15" s="1"/>
  <c r="AT23" i="15" s="1"/>
  <c r="AQ26" i="15"/>
  <c r="AT26" i="15" s="1"/>
  <c r="AP10" i="15"/>
  <c r="AQ10" i="15" s="1"/>
  <c r="AT10" i="15" s="1"/>
  <c r="AQ13" i="15"/>
  <c r="AT13" i="15" s="1"/>
  <c r="AR12" i="15"/>
  <c r="E40" i="15"/>
  <c r="Q40" i="15"/>
  <c r="AC40" i="15"/>
  <c r="AP20" i="15"/>
  <c r="AQ20" i="15" s="1"/>
  <c r="AT20" i="15" s="1"/>
  <c r="G40" i="15"/>
  <c r="S40" i="15"/>
  <c r="AE40" i="15"/>
  <c r="H40" i="15"/>
  <c r="T40" i="15"/>
  <c r="AG40" i="15"/>
  <c r="I40" i="15"/>
  <c r="U40" i="15"/>
  <c r="J40" i="15"/>
  <c r="V40" i="15"/>
  <c r="AP19" i="15"/>
  <c r="AQ19" i="15" s="1"/>
  <c r="AT19" i="15" s="1"/>
  <c r="AQ22" i="15"/>
  <c r="AT22" i="15" s="1"/>
  <c r="AO20" i="14"/>
  <c r="AP20" i="14" s="1"/>
  <c r="AS20" i="14" s="1"/>
  <c r="AO21" i="14"/>
  <c r="AO25" i="14"/>
  <c r="AP25" i="14" s="1"/>
  <c r="AS25" i="14" s="1"/>
  <c r="F40" i="14"/>
  <c r="N40" i="14"/>
  <c r="AO13" i="14"/>
  <c r="AP13" i="14" s="1"/>
  <c r="AS13" i="14" s="1"/>
  <c r="AP11" i="14"/>
  <c r="AS11" i="14" s="1"/>
  <c r="U40" i="14"/>
  <c r="AC40" i="14"/>
  <c r="AP26" i="14"/>
  <c r="AS26" i="14" s="1"/>
  <c r="AE40" i="14"/>
  <c r="T40" i="14"/>
  <c r="G40" i="14"/>
  <c r="E40" i="14"/>
  <c r="V40" i="14"/>
  <c r="X40" i="14"/>
  <c r="C40" i="14"/>
  <c r="AP17" i="14"/>
  <c r="AS17" i="14" s="1"/>
  <c r="AP16" i="14"/>
  <c r="AS16" i="14" s="1"/>
  <c r="AP8" i="14"/>
  <c r="AS8" i="14" s="1"/>
  <c r="J40" i="14"/>
  <c r="Z40" i="14"/>
  <c r="AO15" i="14"/>
  <c r="AP15" i="14" s="1"/>
  <c r="AS15" i="14" s="1"/>
  <c r="K40" i="14"/>
  <c r="S40" i="14"/>
  <c r="AF40" i="14"/>
  <c r="AP14" i="14"/>
  <c r="AS14" i="14" s="1"/>
  <c r="O40" i="14"/>
  <c r="Y40" i="14"/>
  <c r="Q40" i="14"/>
  <c r="AP10" i="14"/>
  <c r="AS10" i="14" s="1"/>
  <c r="M40" i="14"/>
  <c r="W40" i="14"/>
  <c r="AP24" i="14"/>
  <c r="AS24" i="14" s="1"/>
  <c r="AP23" i="14"/>
  <c r="AS23" i="14" s="1"/>
  <c r="AP12" i="14"/>
  <c r="AS12" i="14" s="1"/>
  <c r="I40" i="14"/>
  <c r="H40" i="14"/>
  <c r="AP9" i="14"/>
  <c r="AS9" i="14" s="1"/>
  <c r="AO22" i="14"/>
  <c r="AP22" i="14" s="1"/>
  <c r="AS22" i="14" s="1"/>
  <c r="L40" i="14"/>
  <c r="AP21" i="14"/>
  <c r="AS21" i="14" s="1"/>
  <c r="AT12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은평의마을</author>
    <author>최건우</author>
  </authors>
  <commentList>
    <comment ref="G8" authorId="0" shapeId="0" xr:uid="{9C624B72-62E6-45B1-9D52-D96F57400998}">
      <text>
        <r>
          <rPr>
            <sz val="9"/>
            <color indexed="81"/>
            <rFont val="돋움"/>
            <family val="3"/>
            <charset val="129"/>
          </rPr>
          <t>가족돌봄휴가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8" authorId="1" shapeId="0" xr:uid="{9BF874DD-26DC-4389-939C-E0F0260C34F4}">
      <text>
        <r>
          <rPr>
            <sz val="11"/>
            <color rgb="FF000000"/>
            <rFont val="Malgun Gothic"/>
            <family val="3"/>
            <charset val="129"/>
          </rPr>
          <t>하계휴가</t>
        </r>
      </text>
    </comment>
    <comment ref="E9" authorId="1" shapeId="0" xr:uid="{C246A180-13B4-45AF-933E-3E0F197CB403}">
      <text>
        <r>
          <rPr>
            <sz val="11"/>
            <color rgb="FF000000"/>
            <rFont val="Malgun Gothic"/>
            <family val="3"/>
            <charset val="129"/>
          </rPr>
          <t>근무변경
N근무 --&gt; C근무
야간근무 오류</t>
        </r>
      </text>
    </comment>
    <comment ref="E10" authorId="1" shapeId="0" xr:uid="{1E499E14-6147-4285-9EEB-02AB398927C6}">
      <text>
        <r>
          <rPr>
            <sz val="11"/>
            <color rgb="FF000000"/>
            <rFont val="Malgun Gothic"/>
            <family val="3"/>
            <charset val="129"/>
          </rPr>
          <t>인권교육
12:00~18:00 (5시간)</t>
        </r>
      </text>
    </comment>
    <comment ref="I10" authorId="0" shapeId="0" xr:uid="{0E3763F3-5BE5-4E2C-8362-941175F56FB6}">
      <text>
        <r>
          <rPr>
            <b/>
            <sz val="9"/>
            <color indexed="81"/>
            <rFont val="Tahoma"/>
            <family val="2"/>
          </rPr>
          <t>14:00~18:00/4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1" authorId="0" shapeId="0" xr:uid="{CAD21666-AA39-468D-B3CE-592BB1B78DE8}">
      <text>
        <r>
          <rPr>
            <b/>
            <sz val="9"/>
            <color indexed="81"/>
            <rFont val="돋움"/>
            <family val="3"/>
            <charset val="129"/>
          </rPr>
          <t>가족돌봄휴가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4" authorId="0" shapeId="0" xr:uid="{77212374-811B-46DE-9E0A-4407D866E91A}">
      <text>
        <r>
          <rPr>
            <sz val="9"/>
            <color indexed="81"/>
            <rFont val="Tahoma"/>
            <family val="2"/>
          </rPr>
          <t>12:00~16:00/4</t>
        </r>
        <r>
          <rPr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돌봄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4" authorId="0" shapeId="0" xr:uid="{D00CBCF1-0C4F-44E6-8149-636E7F25A9B4}">
      <text>
        <r>
          <rPr>
            <b/>
            <sz val="9"/>
            <color indexed="81"/>
            <rFont val="Tahoma"/>
            <family val="2"/>
          </rPr>
          <t>12:00~16:00/4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4" authorId="0" shapeId="0" xr:uid="{296D421B-BEB2-4D0C-AA82-0C3481103418}">
      <text>
        <r>
          <rPr>
            <b/>
            <sz val="9"/>
            <color indexed="81"/>
            <rFont val="Tahoma"/>
            <family val="2"/>
          </rPr>
          <t>12:00~16:00/4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4" authorId="0" shapeId="0" xr:uid="{0BA39C08-8781-447D-83B8-792A5A45CFCB}">
      <text>
        <r>
          <rPr>
            <b/>
            <sz val="9"/>
            <color indexed="81"/>
            <rFont val="Tahoma"/>
            <family val="2"/>
          </rPr>
          <t>14:00~18:00/4</t>
        </r>
        <r>
          <rPr>
            <b/>
            <sz val="9"/>
            <color indexed="81"/>
            <rFont val="돋움"/>
            <family val="3"/>
            <charset val="129"/>
          </rPr>
          <t>시간돌봄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4" authorId="0" shapeId="0" xr:uid="{CD0A01A3-FC09-442E-8CAE-B6B45A36B319}">
      <text>
        <r>
          <rPr>
            <b/>
            <sz val="9"/>
            <color indexed="81"/>
            <rFont val="Tahoma"/>
            <family val="2"/>
          </rPr>
          <t>13:00~15:00/2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</text>
    </comment>
    <comment ref="AF14" authorId="0" shapeId="0" xr:uid="{E871D423-895D-4A66-B6B9-143B7353FDBC}">
      <text>
        <r>
          <rPr>
            <b/>
            <sz val="9"/>
            <color indexed="81"/>
            <rFont val="Tahoma"/>
            <family val="2"/>
          </rPr>
          <t>13:00~16:00/3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</text>
    </comment>
    <comment ref="V17" authorId="0" shapeId="0" xr:uid="{F9003C99-915B-45A1-AD97-CBC5E89190D2}">
      <text>
        <r>
          <rPr>
            <b/>
            <sz val="9"/>
            <color indexed="81"/>
            <rFont val="돋움"/>
            <family val="3"/>
            <charset val="129"/>
          </rPr>
          <t>인권교육</t>
        </r>
        <r>
          <rPr>
            <b/>
            <sz val="9"/>
            <color indexed="81"/>
            <rFont val="Tahoma"/>
            <family val="2"/>
          </rPr>
          <t>(12:00~18:00/5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1" shapeId="0" xr:uid="{51815655-08E6-4214-9C40-054A842A9CA5}">
      <text>
        <r>
          <rPr>
            <sz val="11"/>
            <color rgb="FF000000"/>
            <rFont val="Malgun Gothic"/>
            <family val="3"/>
            <charset val="129"/>
          </rPr>
          <t>인권교육
14:00~16:00 (2시간), 건강검진(09:00~14:00/4시간)</t>
        </r>
      </text>
    </comment>
    <comment ref="I20" authorId="0" shapeId="0" xr:uid="{C9193887-AE82-43E3-911C-B313DF3C303C}">
      <text>
        <r>
          <rPr>
            <b/>
            <sz val="9"/>
            <color indexed="81"/>
            <rFont val="돋움"/>
            <family val="3"/>
            <charset val="129"/>
          </rPr>
          <t>가족돌봄휴가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2" authorId="1" shapeId="0" xr:uid="{4995D765-C6A8-4638-859F-DF69E472CA36}">
      <text>
        <r>
          <rPr>
            <sz val="11"/>
            <color rgb="FF000000"/>
            <rFont val="Malgun Gothic"/>
            <family val="3"/>
            <charset val="129"/>
          </rPr>
          <t>인권교육
12:00~18:00 (5시간)</t>
        </r>
      </text>
    </comment>
    <comment ref="W24" authorId="0" shapeId="0" xr:uid="{F8250A48-2136-44A5-8DA5-C6657EDA7183}">
      <text>
        <r>
          <rPr>
            <sz val="9"/>
            <color indexed="81"/>
            <rFont val="Tahoma"/>
            <family val="2"/>
          </rPr>
          <t>14:00~18:00/</t>
        </r>
        <r>
          <rPr>
            <sz val="9"/>
            <color indexed="81"/>
            <rFont val="돋움"/>
            <family val="3"/>
            <charset val="129"/>
          </rPr>
          <t>자녀돌봄휴가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박석균</author>
  </authors>
  <commentList>
    <comment ref="AA9" authorId="0" shapeId="0" xr:uid="{B85BA75E-8816-4F01-947F-3B73D054A997}">
      <text>
        <r>
          <rPr>
            <b/>
            <sz val="9"/>
            <color indexed="81"/>
            <rFont val="돋움"/>
            <family val="3"/>
            <charset val="129"/>
          </rPr>
          <t>하계휴가</t>
        </r>
      </text>
    </comment>
    <comment ref="O10" authorId="0" shapeId="0" xr:uid="{66911A58-4660-4F31-81D4-14CEF962133F}">
      <text>
        <r>
          <rPr>
            <b/>
            <sz val="9"/>
            <color indexed="81"/>
            <rFont val="돋움"/>
            <family val="3"/>
            <charset val="129"/>
          </rPr>
          <t>하계휴가</t>
        </r>
      </text>
    </comment>
    <comment ref="B18" authorId="0" shapeId="0" xr:uid="{72AF7D37-58CA-4ABE-BAAE-B3135929B83E}">
      <text>
        <r>
          <rPr>
            <b/>
            <sz val="9"/>
            <color indexed="81"/>
            <rFont val="돋움"/>
            <family val="3"/>
            <charset val="129"/>
          </rPr>
          <t>홍치호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티오</t>
        </r>
      </text>
    </comment>
    <comment ref="F24" authorId="0" shapeId="0" xr:uid="{00D41249-4B0D-4456-920B-A577D2A24E18}">
      <text>
        <r>
          <rPr>
            <b/>
            <sz val="9"/>
            <color indexed="81"/>
            <rFont val="돋움"/>
            <family val="3"/>
            <charset val="129"/>
          </rPr>
          <t>하계휴가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최건우</author>
    <author>은평의마을</author>
  </authors>
  <commentList>
    <comment ref="L9" authorId="0" shapeId="0" xr:uid="{70751B37-3930-4E2F-AD17-AF90D8D5FAF2}">
      <text>
        <r>
          <rPr>
            <b/>
            <sz val="9"/>
            <color indexed="81"/>
            <rFont val="돋움"/>
            <family val="3"/>
            <charset val="129"/>
          </rPr>
          <t>정문</t>
        </r>
      </text>
    </comment>
    <comment ref="R9" authorId="0" shapeId="0" xr:uid="{56824EA6-0B6B-4E8E-821E-0E5D3E4022E2}">
      <text>
        <r>
          <rPr>
            <b/>
            <sz val="9"/>
            <color indexed="81"/>
            <rFont val="돋움"/>
            <family val="3"/>
            <charset val="129"/>
          </rPr>
          <t>정문</t>
        </r>
      </text>
    </comment>
    <comment ref="G10" authorId="1" shapeId="0" xr:uid="{7CCEF646-599D-4020-9E65-0BB67A970573}">
      <text>
        <r>
          <rPr>
            <b/>
            <sz val="9"/>
            <color indexed="81"/>
            <rFont val="Tahoma"/>
            <family val="2"/>
          </rPr>
          <t>16:00~18:00/2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" authorId="1" shapeId="0" xr:uid="{DB9886D2-280C-45D1-AEB8-AA98EA904DB7}">
      <text>
        <r>
          <rPr>
            <b/>
            <sz val="9"/>
            <color indexed="81"/>
            <rFont val="Tahoma"/>
            <family val="2"/>
          </rPr>
          <t>12:00~16:00(4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" authorId="1" shapeId="0" xr:uid="{80859A9E-7C36-47C5-BC77-64CAF7F5B2F9}">
      <text>
        <r>
          <rPr>
            <b/>
            <sz val="9"/>
            <color indexed="81"/>
            <rFont val="돋움"/>
            <family val="3"/>
            <charset val="129"/>
          </rPr>
          <t>가족돌봄휴가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0" authorId="1" shapeId="0" xr:uid="{A6C6E695-847C-424A-9A9D-5036B6163A2B}">
      <text>
        <r>
          <rPr>
            <b/>
            <sz val="9"/>
            <color indexed="81"/>
            <rFont val="Tahoma"/>
            <family val="2"/>
          </rPr>
          <t>13:00~16:00/3</t>
        </r>
        <r>
          <rPr>
            <b/>
            <sz val="9"/>
            <color indexed="81"/>
            <rFont val="돋움"/>
            <family val="3"/>
            <charset val="129"/>
          </rPr>
          <t>시간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<sst xmlns="http://schemas.openxmlformats.org/spreadsheetml/2006/main" count="1885" uniqueCount="122">
  <si>
    <t xml:space="preserve">요양본부 만성요양과 11월 근무명령서              </t>
  </si>
  <si>
    <t>구분</t>
    <phoneticPr fontId="2" type="noConversion"/>
  </si>
  <si>
    <t>날 짜</t>
  </si>
  <si>
    <t>근무구분/시간</t>
  </si>
  <si>
    <t>월
근무
시간</t>
  </si>
  <si>
    <t>연장
근로</t>
  </si>
  <si>
    <t>야간
근로</t>
  </si>
  <si>
    <t>휴일
근로</t>
  </si>
  <si>
    <t>시간외
합계</t>
  </si>
  <si>
    <t>요 일</t>
  </si>
  <si>
    <t>토</t>
  </si>
  <si>
    <t>일</t>
  </si>
  <si>
    <t>월</t>
  </si>
  <si>
    <t>화</t>
  </si>
  <si>
    <t>수</t>
  </si>
  <si>
    <t>목</t>
  </si>
  <si>
    <t>금</t>
  </si>
  <si>
    <t>A</t>
  </si>
  <si>
    <t>B</t>
  </si>
  <si>
    <t>C</t>
  </si>
  <si>
    <t>N</t>
  </si>
  <si>
    <t>대휴</t>
  </si>
  <si>
    <t>주휴</t>
  </si>
  <si>
    <t>휴무</t>
    <phoneticPr fontId="2" type="noConversion"/>
  </si>
  <si>
    <t>휴가</t>
  </si>
  <si>
    <t>25년
11월</t>
  </si>
  <si>
    <t>월간
일정
(행사)</t>
    <phoneticPr fontId="2" type="noConversion"/>
  </si>
  <si>
    <t>신입직원
워크숍</t>
  </si>
  <si>
    <t>2차
실무자
워크숍</t>
  </si>
  <si>
    <t>3차
실무자
워크숍</t>
  </si>
  <si>
    <t>노사
협의회</t>
  </si>
  <si>
    <t>8H</t>
    <phoneticPr fontId="2" type="noConversion"/>
  </si>
  <si>
    <t xml:space="preserve"> </t>
    <phoneticPr fontId="2" type="noConversion"/>
  </si>
  <si>
    <t>최건우</t>
  </si>
  <si>
    <t>만성요양과</t>
    <phoneticPr fontId="2" type="noConversion"/>
  </si>
  <si>
    <r>
      <t>송소민</t>
    </r>
    <r>
      <rPr>
        <sz val="10"/>
        <color rgb="FF000000"/>
        <rFont val="굴림"/>
        <family val="3"/>
        <charset val="129"/>
      </rPr>
      <t xml:space="preserve">
(대리)</t>
    </r>
    <phoneticPr fontId="2" type="noConversion"/>
  </si>
  <si>
    <t>A2</t>
  </si>
  <si>
    <t>휴가</t>
    <phoneticPr fontId="2" type="noConversion"/>
  </si>
  <si>
    <r>
      <t>김희호</t>
    </r>
    <r>
      <rPr>
        <sz val="10"/>
        <rFont val="굴림"/>
        <family val="3"/>
        <charset val="129"/>
      </rPr>
      <t xml:space="preserve">
(실장)</t>
    </r>
    <phoneticPr fontId="2" type="noConversion"/>
  </si>
  <si>
    <t>A2</t>
    <phoneticPr fontId="2" type="noConversion"/>
  </si>
  <si>
    <t>양현룡</t>
  </si>
  <si>
    <t>곽   철</t>
    <phoneticPr fontId="2" type="noConversion"/>
  </si>
  <si>
    <t>장성해</t>
    <phoneticPr fontId="2" type="noConversion"/>
  </si>
  <si>
    <t>A</t>
    <phoneticPr fontId="2" type="noConversion"/>
  </si>
  <si>
    <t>C</t>
    <phoneticPr fontId="2" type="noConversion"/>
  </si>
  <si>
    <t>민태식</t>
    <phoneticPr fontId="2" type="noConversion"/>
  </si>
  <si>
    <t>정신영</t>
    <phoneticPr fontId="2" type="noConversion"/>
  </si>
  <si>
    <t>류호익</t>
  </si>
  <si>
    <t>김병기</t>
  </si>
  <si>
    <t>주휴</t>
    <phoneticPr fontId="2" type="noConversion"/>
  </si>
  <si>
    <t>음성훈</t>
    <phoneticPr fontId="2" type="noConversion"/>
  </si>
  <si>
    <t>B</t>
    <phoneticPr fontId="2" type="noConversion"/>
  </si>
  <si>
    <t>채용중</t>
    <phoneticPr fontId="2" type="noConversion"/>
  </si>
  <si>
    <r>
      <t>박안나</t>
    </r>
    <r>
      <rPr>
        <sz val="10"/>
        <color rgb="FF000000"/>
        <rFont val="굴림"/>
        <family val="3"/>
        <charset val="129"/>
      </rPr>
      <t xml:space="preserve">
(대리)</t>
    </r>
    <phoneticPr fontId="2" type="noConversion"/>
  </si>
  <si>
    <t>장준형</t>
  </si>
  <si>
    <t>김재승</t>
    <phoneticPr fontId="2" type="noConversion"/>
  </si>
  <si>
    <t>신규만</t>
  </si>
  <si>
    <t>조한준</t>
    <phoneticPr fontId="2" type="noConversion"/>
  </si>
  <si>
    <t>김삼곤</t>
  </si>
  <si>
    <t>심주은</t>
  </si>
  <si>
    <t>주대건</t>
  </si>
  <si>
    <t>주간
인원</t>
    <phoneticPr fontId="2" type="noConversion"/>
  </si>
  <si>
    <t xml:space="preserve">*근무시간 = A근무 (07:00~16:00) / B근무 (13:00~22:00) / C근무 (09:00~18:00) / N근무 (22:00~08:00) </t>
    <phoneticPr fontId="2" type="noConversion"/>
  </si>
  <si>
    <t xml:space="preserve">빈칸 : 휴무  </t>
    <phoneticPr fontId="2" type="noConversion"/>
  </si>
  <si>
    <t>주휴 : 주휴일</t>
    <phoneticPr fontId="2" type="noConversion"/>
  </si>
  <si>
    <t>대휴 : 대체휴일</t>
    <phoneticPr fontId="2" type="noConversion"/>
  </si>
  <si>
    <t>*휴게시간 = A,C근무 (12:30~13:30) / B근무 (18:30~19:30, 19:30~20:30 교대로 휴게) / N근무 (22:00~06:00 교대로 2시간씩 휴게 - 야간당직근무 시간표 참조)</t>
    <phoneticPr fontId="2" type="noConversion"/>
  </si>
  <si>
    <t xml:space="preserve">    ※ 점심식사 선식자 휴게시간 (11:30 ~ 12:30)</t>
    <phoneticPr fontId="2" type="noConversion"/>
  </si>
  <si>
    <t>※ 정문 B근무 휴게시간 (17:00 ~ 18:00)</t>
    <phoneticPr fontId="2" type="noConversion"/>
  </si>
  <si>
    <t>※ 상황에 따라 휴게시간 조정될 수 있음</t>
    <phoneticPr fontId="2" type="noConversion"/>
  </si>
  <si>
    <t>교육</t>
    <phoneticPr fontId="2" type="noConversion"/>
  </si>
  <si>
    <t>행사</t>
    <phoneticPr fontId="2" type="noConversion"/>
  </si>
  <si>
    <t>조퇴 : 메모로 조퇴시간 등 작성</t>
    <phoneticPr fontId="2" type="noConversion"/>
  </si>
  <si>
    <t>서울특별시립은평의마을원장</t>
    <phoneticPr fontId="2" type="noConversion"/>
  </si>
  <si>
    <t>A근무</t>
    <phoneticPr fontId="2" type="noConversion"/>
  </si>
  <si>
    <t>B근무</t>
    <phoneticPr fontId="2" type="noConversion"/>
  </si>
  <si>
    <t>C근무</t>
    <phoneticPr fontId="2" type="noConversion"/>
  </si>
  <si>
    <t>N근무</t>
    <phoneticPr fontId="2" type="noConversion"/>
  </si>
  <si>
    <t>총 근무 인원</t>
    <phoneticPr fontId="2" type="noConversion"/>
  </si>
  <si>
    <t xml:space="preserve">요양본부 만성요양과 12월 근무명령서              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</si>
  <si>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</si>
  <si>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</si>
  <si>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</si>
  <si>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</si>
  <si>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</si>
  <si>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</si>
  <si>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</si>
  <si>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25년
12월</t>
  </si>
  <si>
    <t>자선
냄비 
시종식</t>
    <phoneticPr fontId="2" type="noConversion"/>
  </si>
  <si>
    <t>패션쇼</t>
    <phoneticPr fontId="2" type="noConversion"/>
  </si>
  <si>
    <t>직업
재활
송년회</t>
    <phoneticPr fontId="2" type="noConversion"/>
  </si>
  <si>
    <t>송년
음악회</t>
    <phoneticPr fontId="2" type="noConversion"/>
  </si>
  <si>
    <t>합동
추모
예식</t>
    <phoneticPr fontId="2" type="noConversion"/>
  </si>
  <si>
    <t>직원
송년회</t>
    <phoneticPr fontId="2" type="noConversion"/>
  </si>
  <si>
    <t>성탄절</t>
    <phoneticPr fontId="2" type="noConversion"/>
  </si>
  <si>
    <t>마포
영문
방문</t>
    <phoneticPr fontId="2" type="noConversion"/>
  </si>
  <si>
    <t>N</t>
    <phoneticPr fontId="2" type="noConversion"/>
  </si>
  <si>
    <t xml:space="preserve">요양본부 만성요양과 1월 근무명령서              </t>
    <phoneticPr fontId="2" type="noConversion"/>
  </si>
  <si>
    <t>양현룡</t>
    <phoneticPr fontId="2" type="noConversion"/>
  </si>
  <si>
    <r>
      <t xml:space="preserve">김재승
</t>
    </r>
    <r>
      <rPr>
        <sz val="10"/>
        <rFont val="굴림"/>
        <family val="3"/>
        <charset val="129"/>
      </rPr>
      <t>(대리)</t>
    </r>
    <phoneticPr fontId="2" type="noConversion"/>
  </si>
  <si>
    <r>
      <t>박안나</t>
    </r>
    <r>
      <rPr>
        <sz val="10"/>
        <rFont val="굴림"/>
        <family val="3"/>
        <charset val="129"/>
      </rPr>
      <t xml:space="preserve">
(대리)</t>
    </r>
    <phoneticPr fontId="2" type="noConversion"/>
  </si>
  <si>
    <t>심주은</t>
    <phoneticPr fontId="2" type="noConversion"/>
  </si>
  <si>
    <t>주대건</t>
    <phoneticPr fontId="2" type="noConversion"/>
  </si>
  <si>
    <r>
      <t>송소민</t>
    </r>
    <r>
      <rPr>
        <sz val="10"/>
        <rFont val="굴림"/>
        <family val="3"/>
        <charset val="129"/>
      </rPr>
      <t xml:space="preserve">
(과장)</t>
    </r>
    <phoneticPr fontId="2" type="noConversion"/>
  </si>
  <si>
    <r>
      <t xml:space="preserve">이혁수
</t>
    </r>
    <r>
      <rPr>
        <sz val="8"/>
        <rFont val="굴림"/>
        <family val="3"/>
        <charset val="129"/>
      </rPr>
      <t>(O.T)</t>
    </r>
    <phoneticPr fontId="2" type="noConversion"/>
  </si>
  <si>
    <r>
      <t xml:space="preserve">박삼일
</t>
    </r>
    <r>
      <rPr>
        <sz val="8"/>
        <rFont val="굴림"/>
        <family val="3"/>
        <charset val="129"/>
      </rPr>
      <t>(O.T)</t>
    </r>
    <phoneticPr fontId="2" type="noConversion"/>
  </si>
  <si>
    <r>
      <t xml:space="preserve">여지수
</t>
    </r>
    <r>
      <rPr>
        <sz val="8"/>
        <rFont val="굴림"/>
        <family val="3"/>
        <charset val="129"/>
      </rPr>
      <t>(O.T)</t>
    </r>
    <phoneticPr fontId="2" type="noConversion"/>
  </si>
  <si>
    <t>26년
01월</t>
    <phoneticPr fontId="2" type="noConversion"/>
  </si>
  <si>
    <t>주휴</t>
    <phoneticPr fontId="2" type="noConversion"/>
  </si>
  <si>
    <t>대휴</t>
    <phoneticPr fontId="2" type="noConversion"/>
  </si>
  <si>
    <t>C</t>
    <phoneticPr fontId="2" type="noConversion"/>
  </si>
  <si>
    <t>주휴</t>
    <phoneticPr fontId="2" type="noConversion"/>
  </si>
  <si>
    <t>C3</t>
    <phoneticPr fontId="2" type="noConversion"/>
  </si>
  <si>
    <t>C</t>
    <phoneticPr fontId="2" type="noConversion"/>
  </si>
  <si>
    <t>A</t>
    <phoneticPr fontId="2" type="noConversion"/>
  </si>
  <si>
    <t>B</t>
    <phoneticPr fontId="2" type="noConversion"/>
  </si>
  <si>
    <t>주휴</t>
    <phoneticPr fontId="2" type="noConversion"/>
  </si>
  <si>
    <t>A2</t>
    <phoneticPr fontId="2" type="noConversion"/>
  </si>
  <si>
    <t>진성균</t>
    <phoneticPr fontId="2" type="noConversion"/>
  </si>
  <si>
    <t>B3</t>
    <phoneticPr fontId="2" type="noConversion"/>
  </si>
  <si>
    <t>A1</t>
    <phoneticPr fontId="2" type="noConversion"/>
  </si>
  <si>
    <t>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</si>
</sst>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E+00"/>
  </numFmts>
  <fonts count="43">
    <font>
      <sz val="11"/>
      <color rgb="FF000000"/>
      <name val="Malgun Gothic"/>
    </font>
    <font>
      <sz val="10"/>
      <color rgb="FF000000"/>
      <name val="Dotum"/>
      <family val="3"/>
      <charset val="129"/>
    </font>
    <font>
      <sz val="8"/>
      <name val="돋움"/>
      <family val="3"/>
      <charset val="129"/>
    </font>
    <font>
      <b/>
      <sz val="10"/>
      <color rgb="FF000000"/>
      <name val="굴림"/>
      <family val="3"/>
      <charset val="129"/>
    </font>
    <font>
      <sz val="10"/>
      <name val="굴림"/>
      <family val="3"/>
      <charset val="129"/>
    </font>
    <font>
      <b/>
      <sz val="9"/>
      <color rgb="FFFF0000"/>
      <name val="굴림"/>
      <family val="3"/>
      <charset val="129"/>
    </font>
    <font>
      <b/>
      <sz val="10"/>
      <name val="굴림"/>
      <family val="3"/>
      <charset val="129"/>
    </font>
    <font>
      <sz val="11"/>
      <name val="굴림"/>
      <family val="3"/>
      <charset val="129"/>
    </font>
    <font>
      <b/>
      <sz val="11"/>
      <name val="굴림"/>
      <family val="3"/>
      <charset val="129"/>
    </font>
    <font>
      <b/>
      <sz val="11"/>
      <color rgb="FF000000"/>
      <name val="굴림"/>
      <family val="3"/>
      <charset val="129"/>
    </font>
    <font>
      <b/>
      <sz val="8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8"/>
      <name val="굴림"/>
      <family val="3"/>
      <charset val="129"/>
    </font>
    <font>
      <sz val="10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Malgun Gothic"/>
      <family val="3"/>
      <charset val="129"/>
    </font>
    <font>
      <b/>
      <sz val="28"/>
      <color rgb="FF000000"/>
      <name val="구세군체 Regular"/>
      <family val="1"/>
      <charset val="129"/>
    </font>
    <font>
      <sz val="9"/>
      <color rgb="FFFF0000"/>
      <name val="굴림"/>
      <family val="3"/>
      <charset val="129"/>
    </font>
    <font>
      <sz val="11"/>
      <color rgb="FF000000"/>
      <name val="돋움"/>
      <family val="3"/>
      <charset val="129"/>
    </font>
    <font>
      <b/>
      <sz val="10"/>
      <color theme="1"/>
      <name val="굴림"/>
      <family val="3"/>
      <charset val="129"/>
    </font>
    <font>
      <b/>
      <sz val="10"/>
      <color rgb="FF0000FF"/>
      <name val="굴림"/>
      <family val="3"/>
      <charset val="129"/>
    </font>
    <font>
      <sz val="11"/>
      <color rgb="FF000000"/>
      <name val="Malgun Gothic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11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26"/>
      <color rgb="FF000000"/>
      <name val="굴림체"/>
      <family val="3"/>
      <charset val="129"/>
    </font>
    <font>
      <b/>
      <sz val="9"/>
      <color indexed="81"/>
      <name val="돋움"/>
      <family val="3"/>
      <charset val="129"/>
    </font>
    <font>
      <b/>
      <u/>
      <sz val="11"/>
      <name val="굴림"/>
      <family val="3"/>
      <charset val="129"/>
    </font>
    <font>
      <sz val="11"/>
      <color rgb="FFFF0000"/>
      <name val="굴림"/>
      <family val="3"/>
      <charset val="129"/>
    </font>
    <font>
      <b/>
      <u/>
      <sz val="11"/>
      <color theme="1"/>
      <name val="굴림"/>
      <family val="3"/>
      <charset val="129"/>
    </font>
    <font>
      <b/>
      <sz val="11"/>
      <color rgb="FFFF0000"/>
      <name val="굴림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theme="1"/>
      <name val="굴림"/>
      <family val="3"/>
      <charset val="129"/>
    </font>
    <font>
      <sz val="8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u/>
      <sz val="11"/>
      <color theme="1"/>
      <name val="굴림"/>
      <family val="3"/>
      <charset val="129"/>
    </font>
    <font>
      <sz val="9"/>
      <color indexed="81"/>
      <name val="돋움"/>
      <family val="3"/>
      <charset val="129"/>
    </font>
    <font>
      <sz val="11"/>
      <color rgb="FF000000"/>
      <name val="굴림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rgb="FFFFFF00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</fills>
  <borders count="17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FF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FF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4" fillId="0" borderId="1">
      <alignment vertical="center"/>
    </xf>
    <xf numFmtId="0" fontId="19" fillId="0" borderId="1">
      <alignment vertical="center"/>
    </xf>
  </cellStyleXfs>
  <cellXfs count="75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8" fillId="3" borderId="25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13" fillId="5" borderId="21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5" fillId="2" borderId="2" xfId="0" applyFont="1" applyFill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/>
    </xf>
    <xf numFmtId="0" fontId="15" fillId="5" borderId="1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49" fontId="11" fillId="5" borderId="0" xfId="0" applyNumberFormat="1" applyFont="1" applyFill="1" applyAlignment="1">
      <alignment vertical="center"/>
    </xf>
    <xf numFmtId="49" fontId="15" fillId="0" borderId="0" xfId="0" applyNumberFormat="1" applyFont="1" applyAlignment="1">
      <alignment vertical="center"/>
    </xf>
    <xf numFmtId="0" fontId="15" fillId="9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3" fillId="5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2" xfId="2" applyFont="1" applyBorder="1" applyAlignment="1">
      <alignment horizontal="center" vertical="center"/>
    </xf>
    <xf numFmtId="0" fontId="24" fillId="0" borderId="2" xfId="2" applyFont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24" fillId="12" borderId="2" xfId="2" applyFont="1" applyFill="1" applyBorder="1" applyAlignment="1">
      <alignment horizontal="center" vertical="center"/>
    </xf>
    <xf numFmtId="0" fontId="24" fillId="7" borderId="2" xfId="2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25" fillId="12" borderId="2" xfId="2" applyFont="1" applyFill="1" applyBorder="1" applyAlignment="1" applyProtection="1">
      <alignment horizontal="center" vertical="center"/>
      <protection locked="0"/>
    </xf>
    <xf numFmtId="0" fontId="6" fillId="3" borderId="3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25" fillId="14" borderId="2" xfId="2" applyFont="1" applyFill="1" applyBorder="1" applyAlignment="1" applyProtection="1">
      <alignment horizontal="center" vertical="center"/>
      <protection locked="0"/>
    </xf>
    <xf numFmtId="0" fontId="25" fillId="7" borderId="2" xfId="2" applyFont="1" applyFill="1" applyBorder="1" applyAlignment="1" applyProtection="1">
      <alignment horizontal="center" vertical="center"/>
      <protection locked="0"/>
    </xf>
    <xf numFmtId="0" fontId="27" fillId="7" borderId="2" xfId="2" applyFont="1" applyFill="1" applyBorder="1" applyAlignment="1" applyProtection="1">
      <alignment horizontal="center" vertical="center"/>
      <protection locked="0"/>
    </xf>
    <xf numFmtId="0" fontId="25" fillId="0" borderId="2" xfId="2" applyFont="1" applyBorder="1" applyAlignment="1" applyProtection="1">
      <alignment horizontal="center" vertical="center"/>
      <protection locked="0"/>
    </xf>
    <xf numFmtId="0" fontId="7" fillId="7" borderId="2" xfId="2" applyFont="1" applyFill="1" applyBorder="1" applyAlignment="1" applyProtection="1">
      <alignment horizontal="center" vertical="center"/>
      <protection locked="0"/>
    </xf>
    <xf numFmtId="0" fontId="7" fillId="12" borderId="2" xfId="2" applyFont="1" applyFill="1" applyBorder="1" applyAlignment="1" applyProtection="1">
      <alignment horizontal="center" vertical="center"/>
      <protection locked="0"/>
    </xf>
    <xf numFmtId="0" fontId="7" fillId="14" borderId="2" xfId="2" applyFont="1" applyFill="1" applyBorder="1" applyAlignment="1" applyProtection="1">
      <alignment horizontal="center" vertical="center"/>
      <protection locked="0"/>
    </xf>
    <xf numFmtId="0" fontId="13" fillId="5" borderId="18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7" fillId="7" borderId="7" xfId="2" applyFont="1" applyFill="1" applyBorder="1" applyAlignment="1" applyProtection="1">
      <alignment horizontal="center" vertical="center"/>
      <protection locked="0"/>
    </xf>
    <xf numFmtId="0" fontId="7" fillId="14" borderId="15" xfId="2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9" fillId="6" borderId="23" xfId="0" applyFont="1" applyFill="1" applyBorder="1" applyAlignment="1">
      <alignment horizontal="center" vertical="center"/>
    </xf>
    <xf numFmtId="0" fontId="3" fillId="4" borderId="41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 wrapText="1"/>
    </xf>
    <xf numFmtId="0" fontId="6" fillId="3" borderId="42" xfId="0" applyFont="1" applyFill="1" applyBorder="1" applyAlignment="1">
      <alignment horizontal="center" vertical="center"/>
    </xf>
    <xf numFmtId="0" fontId="6" fillId="3" borderId="48" xfId="0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0" fontId="6" fillId="3" borderId="43" xfId="0" applyFont="1" applyFill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5" borderId="50" xfId="0" applyFont="1" applyFill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6" fillId="3" borderId="50" xfId="0" applyFont="1" applyFill="1" applyBorder="1" applyAlignment="1">
      <alignment horizontal="center" vertical="center"/>
    </xf>
    <xf numFmtId="0" fontId="6" fillId="3" borderId="5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53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33" fillId="7" borderId="2" xfId="2" applyFont="1" applyFill="1" applyBorder="1" applyAlignment="1" applyProtection="1">
      <alignment horizontal="center" vertical="center"/>
      <protection locked="0"/>
    </xf>
    <xf numFmtId="0" fontId="6" fillId="0" borderId="32" xfId="0" applyFont="1" applyBorder="1" applyAlignment="1">
      <alignment horizontal="center" vertical="center"/>
    </xf>
    <xf numFmtId="0" fontId="4" fillId="5" borderId="36" xfId="0" applyFont="1" applyFill="1" applyBorder="1" applyAlignment="1">
      <alignment horizontal="center" vertical="center"/>
    </xf>
    <xf numFmtId="0" fontId="34" fillId="0" borderId="2" xfId="2" applyFont="1" applyBorder="1" applyAlignment="1" applyProtection="1">
      <alignment horizontal="center" vertical="center"/>
      <protection locked="0"/>
    </xf>
    <xf numFmtId="0" fontId="37" fillId="0" borderId="58" xfId="0" applyFont="1" applyBorder="1" applyAlignment="1">
      <alignment horizontal="center" vertical="center" wrapText="1"/>
    </xf>
    <xf numFmtId="0" fontId="37" fillId="0" borderId="58" xfId="0" applyFont="1" applyBorder="1" applyAlignment="1">
      <alignment vertical="center" wrapText="1"/>
    </xf>
    <xf numFmtId="0" fontId="39" fillId="0" borderId="58" xfId="0" applyFont="1" applyBorder="1" applyAlignment="1">
      <alignment vertical="center" wrapText="1"/>
    </xf>
    <xf numFmtId="0" fontId="25" fillId="0" borderId="58" xfId="2" applyFont="1" applyBorder="1" applyAlignment="1" applyProtection="1">
      <alignment horizontal="center" vertical="center"/>
      <protection locked="0"/>
    </xf>
    <xf numFmtId="0" fontId="25" fillId="0" borderId="58" xfId="2" applyFont="1" applyBorder="1" applyAlignment="1">
      <alignment horizontal="center" vertical="center"/>
    </xf>
    <xf numFmtId="0" fontId="6" fillId="0" borderId="54" xfId="2" applyFont="1" applyBorder="1" applyAlignment="1" applyProtection="1">
      <alignment horizontal="center" vertical="center"/>
      <protection locked="0"/>
    </xf>
    <xf numFmtId="0" fontId="13" fillId="5" borderId="56" xfId="0" applyFont="1" applyFill="1" applyBorder="1" applyAlignment="1">
      <alignment horizontal="center" vertical="center"/>
    </xf>
    <xf numFmtId="0" fontId="20" fillId="0" borderId="62" xfId="0" applyFont="1" applyBorder="1" applyAlignment="1">
      <alignment horizontal="center" vertical="center"/>
    </xf>
    <xf numFmtId="0" fontId="38" fillId="0" borderId="58" xfId="0" applyFont="1" applyBorder="1" applyAlignment="1">
      <alignment vertical="center" wrapText="1"/>
    </xf>
    <xf numFmtId="0" fontId="37" fillId="0" borderId="6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center" vertical="center" wrapText="1"/>
    </xf>
    <xf numFmtId="0" fontId="37" fillId="0" borderId="62" xfId="0" applyFont="1" applyBorder="1" applyAlignment="1">
      <alignment vertical="center" wrapText="1"/>
    </xf>
    <xf numFmtId="0" fontId="38" fillId="0" borderId="62" xfId="0" applyFont="1" applyBorder="1" applyAlignment="1">
      <alignment vertical="center" wrapText="1"/>
    </xf>
    <xf numFmtId="0" fontId="37" fillId="0" borderId="65" xfId="0" applyFont="1" applyBorder="1" applyAlignment="1">
      <alignment horizontal="center" vertical="center" wrapText="1"/>
    </xf>
    <xf numFmtId="0" fontId="37" fillId="0" borderId="65" xfId="0" applyFont="1" applyBorder="1" applyAlignment="1">
      <alignment vertical="center" wrapText="1"/>
    </xf>
    <xf numFmtId="0" fontId="39" fillId="0" borderId="65" xfId="0" applyFont="1" applyBorder="1" applyAlignment="1">
      <alignment vertical="center" wrapText="1"/>
    </xf>
    <xf numFmtId="0" fontId="20" fillId="0" borderId="71" xfId="0" applyFont="1" applyBorder="1" applyAlignment="1">
      <alignment horizontal="center" vertical="center"/>
    </xf>
    <xf numFmtId="0" fontId="20" fillId="0" borderId="73" xfId="0" applyFont="1" applyBorder="1" applyAlignment="1">
      <alignment horizontal="center" vertical="center" wrapText="1"/>
    </xf>
    <xf numFmtId="0" fontId="28" fillId="0" borderId="73" xfId="0" applyFont="1" applyBorder="1" applyAlignment="1">
      <alignment horizontal="center" vertical="center" wrapText="1"/>
    </xf>
    <xf numFmtId="0" fontId="25" fillId="0" borderId="71" xfId="2" applyFont="1" applyBorder="1" applyAlignment="1" applyProtection="1">
      <alignment horizontal="center" vertical="center"/>
      <protection locked="0"/>
    </xf>
    <xf numFmtId="0" fontId="25" fillId="0" borderId="67" xfId="2" applyFont="1" applyBorder="1" applyAlignment="1" applyProtection="1">
      <alignment horizontal="center" vertical="center"/>
      <protection locked="0"/>
    </xf>
    <xf numFmtId="0" fontId="25" fillId="0" borderId="62" xfId="2" applyFont="1" applyBorder="1" applyAlignment="1" applyProtection="1">
      <alignment horizontal="center" vertical="center"/>
      <protection locked="0"/>
    </xf>
    <xf numFmtId="0" fontId="20" fillId="12" borderId="61" xfId="0" applyFont="1" applyFill="1" applyBorder="1" applyAlignment="1">
      <alignment horizontal="center" vertical="center"/>
    </xf>
    <xf numFmtId="0" fontId="20" fillId="12" borderId="70" xfId="0" applyFont="1" applyFill="1" applyBorder="1" applyAlignment="1">
      <alignment horizontal="center" vertical="center"/>
    </xf>
    <xf numFmtId="176" fontId="37" fillId="12" borderId="61" xfId="0" applyNumberFormat="1" applyFont="1" applyFill="1" applyBorder="1" applyAlignment="1">
      <alignment horizontal="center" vertical="center" wrapText="1"/>
    </xf>
    <xf numFmtId="176" fontId="37" fillId="12" borderId="68" xfId="0" applyNumberFormat="1" applyFont="1" applyFill="1" applyBorder="1" applyAlignment="1">
      <alignment horizontal="center" vertical="center" wrapText="1"/>
    </xf>
    <xf numFmtId="176" fontId="37" fillId="12" borderId="64" xfId="0" applyNumberFormat="1" applyFont="1" applyFill="1" applyBorder="1" applyAlignment="1">
      <alignment horizontal="center" vertical="center" wrapText="1"/>
    </xf>
    <xf numFmtId="176" fontId="28" fillId="12" borderId="73" xfId="0" applyNumberFormat="1" applyFont="1" applyFill="1" applyBorder="1" applyAlignment="1">
      <alignment horizontal="center" vertical="center" wrapText="1"/>
    </xf>
    <xf numFmtId="0" fontId="25" fillId="12" borderId="68" xfId="2" applyFont="1" applyFill="1" applyBorder="1" applyAlignment="1" applyProtection="1">
      <alignment horizontal="center" vertical="center"/>
      <protection locked="0"/>
    </xf>
    <xf numFmtId="0" fontId="20" fillId="12" borderId="62" xfId="0" applyFont="1" applyFill="1" applyBorder="1" applyAlignment="1">
      <alignment horizontal="center" vertical="center"/>
    </xf>
    <xf numFmtId="0" fontId="20" fillId="12" borderId="71" xfId="0" applyFont="1" applyFill="1" applyBorder="1" applyAlignment="1">
      <alignment horizontal="center" vertical="center"/>
    </xf>
    <xf numFmtId="176" fontId="37" fillId="12" borderId="62" xfId="0" applyNumberFormat="1" applyFont="1" applyFill="1" applyBorder="1" applyAlignment="1">
      <alignment horizontal="center" vertical="center" wrapText="1"/>
    </xf>
    <xf numFmtId="176" fontId="37" fillId="12" borderId="58" xfId="0" applyNumberFormat="1" applyFont="1" applyFill="1" applyBorder="1" applyAlignment="1">
      <alignment horizontal="center" vertical="center" wrapText="1"/>
    </xf>
    <xf numFmtId="0" fontId="37" fillId="12" borderId="65" xfId="0" applyFont="1" applyFill="1" applyBorder="1" applyAlignment="1">
      <alignment horizontal="center" vertical="center" wrapText="1"/>
    </xf>
    <xf numFmtId="0" fontId="28" fillId="12" borderId="73" xfId="0" applyFont="1" applyFill="1" applyBorder="1" applyAlignment="1">
      <alignment horizontal="center" vertical="center" wrapText="1"/>
    </xf>
    <xf numFmtId="0" fontId="25" fillId="12" borderId="58" xfId="2" applyFont="1" applyFill="1" applyBorder="1" applyAlignment="1" applyProtection="1">
      <alignment horizontal="center" vertical="center"/>
      <protection locked="0"/>
    </xf>
    <xf numFmtId="0" fontId="25" fillId="12" borderId="71" xfId="2" applyFont="1" applyFill="1" applyBorder="1" applyAlignment="1" applyProtection="1">
      <alignment horizontal="center" vertical="center"/>
      <protection locked="0"/>
    </xf>
    <xf numFmtId="0" fontId="25" fillId="12" borderId="62" xfId="2" applyFont="1" applyFill="1" applyBorder="1" applyAlignment="1" applyProtection="1">
      <alignment horizontal="center" vertical="center"/>
      <protection locked="0"/>
    </xf>
    <xf numFmtId="0" fontId="38" fillId="12" borderId="62" xfId="0" applyFont="1" applyFill="1" applyBorder="1" applyAlignment="1">
      <alignment vertical="center" wrapText="1"/>
    </xf>
    <xf numFmtId="0" fontId="38" fillId="12" borderId="58" xfId="0" applyFont="1" applyFill="1" applyBorder="1" applyAlignment="1">
      <alignment vertical="center" wrapText="1"/>
    </xf>
    <xf numFmtId="0" fontId="25" fillId="12" borderId="58" xfId="2" applyFont="1" applyFill="1" applyBorder="1" applyAlignment="1">
      <alignment horizontal="center" vertical="center"/>
    </xf>
    <xf numFmtId="0" fontId="37" fillId="12" borderId="62" xfId="0" applyFont="1" applyFill="1" applyBorder="1" applyAlignment="1">
      <alignment vertical="center" wrapText="1"/>
    </xf>
    <xf numFmtId="0" fontId="37" fillId="12" borderId="58" xfId="0" applyFont="1" applyFill="1" applyBorder="1" applyAlignment="1">
      <alignment vertical="center" wrapText="1"/>
    </xf>
    <xf numFmtId="176" fontId="39" fillId="12" borderId="65" xfId="0" applyNumberFormat="1" applyFont="1" applyFill="1" applyBorder="1" applyAlignment="1">
      <alignment vertical="center" wrapText="1"/>
    </xf>
    <xf numFmtId="0" fontId="37" fillId="12" borderId="62" xfId="0" applyFont="1" applyFill="1" applyBorder="1" applyAlignment="1">
      <alignment horizontal="center" vertical="center" wrapText="1"/>
    </xf>
    <xf numFmtId="0" fontId="37" fillId="12" borderId="58" xfId="0" applyFont="1" applyFill="1" applyBorder="1" applyAlignment="1">
      <alignment horizontal="center" vertical="center" wrapText="1"/>
    </xf>
    <xf numFmtId="0" fontId="20" fillId="7" borderId="62" xfId="0" applyFont="1" applyFill="1" applyBorder="1" applyAlignment="1">
      <alignment horizontal="center" vertical="center"/>
    </xf>
    <xf numFmtId="0" fontId="20" fillId="7" borderId="71" xfId="0" applyFont="1" applyFill="1" applyBorder="1" applyAlignment="1">
      <alignment horizontal="center" vertical="center"/>
    </xf>
    <xf numFmtId="0" fontId="37" fillId="7" borderId="62" xfId="0" applyFont="1" applyFill="1" applyBorder="1" applyAlignment="1">
      <alignment horizontal="center" vertical="center" wrapText="1"/>
    </xf>
    <xf numFmtId="0" fontId="37" fillId="7" borderId="58" xfId="0" applyFont="1" applyFill="1" applyBorder="1" applyAlignment="1">
      <alignment horizontal="center" vertical="center" wrapText="1"/>
    </xf>
    <xf numFmtId="0" fontId="37" fillId="7" borderId="65" xfId="0" applyFont="1" applyFill="1" applyBorder="1" applyAlignment="1">
      <alignment horizontal="center" vertical="center" wrapText="1"/>
    </xf>
    <xf numFmtId="0" fontId="20" fillId="7" borderId="73" xfId="0" applyFont="1" applyFill="1" applyBorder="1" applyAlignment="1">
      <alignment horizontal="center" vertical="center" wrapText="1"/>
    </xf>
    <xf numFmtId="49" fontId="25" fillId="7" borderId="58" xfId="2" applyNumberFormat="1" applyFont="1" applyFill="1" applyBorder="1" applyAlignment="1" applyProtection="1">
      <alignment horizontal="center" vertical="center"/>
      <protection locked="0"/>
    </xf>
    <xf numFmtId="0" fontId="25" fillId="7" borderId="58" xfId="2" applyFont="1" applyFill="1" applyBorder="1" applyAlignment="1" applyProtection="1">
      <alignment horizontal="center" vertical="center"/>
      <protection locked="0"/>
    </xf>
    <xf numFmtId="0" fontId="25" fillId="7" borderId="71" xfId="2" applyFont="1" applyFill="1" applyBorder="1" applyAlignment="1" applyProtection="1">
      <alignment horizontal="center" vertical="center"/>
      <protection locked="0"/>
    </xf>
    <xf numFmtId="0" fontId="25" fillId="7" borderId="62" xfId="2" applyFont="1" applyFill="1" applyBorder="1" applyAlignment="1" applyProtection="1">
      <alignment horizontal="center" vertical="center"/>
      <protection locked="0"/>
    </xf>
    <xf numFmtId="0" fontId="37" fillId="7" borderId="62" xfId="0" applyFont="1" applyFill="1" applyBorder="1" applyAlignment="1">
      <alignment vertical="center" wrapText="1"/>
    </xf>
    <xf numFmtId="0" fontId="37" fillId="7" borderId="58" xfId="0" applyFont="1" applyFill="1" applyBorder="1" applyAlignment="1">
      <alignment vertical="center" wrapText="1"/>
    </xf>
    <xf numFmtId="0" fontId="37" fillId="7" borderId="65" xfId="0" applyFont="1" applyFill="1" applyBorder="1" applyAlignment="1">
      <alignment horizontal="center" vertical="center"/>
    </xf>
    <xf numFmtId="0" fontId="28" fillId="7" borderId="73" xfId="0" applyFont="1" applyFill="1" applyBorder="1" applyAlignment="1">
      <alignment horizontal="center" vertical="center"/>
    </xf>
    <xf numFmtId="0" fontId="25" fillId="7" borderId="58" xfId="2" applyFont="1" applyFill="1" applyBorder="1" applyAlignment="1">
      <alignment horizontal="center" vertical="center"/>
    </xf>
    <xf numFmtId="0" fontId="38" fillId="7" borderId="62" xfId="0" applyFont="1" applyFill="1" applyBorder="1" applyAlignment="1">
      <alignment horizontal="center" vertical="center" wrapText="1"/>
    </xf>
    <xf numFmtId="0" fontId="38" fillId="7" borderId="58" xfId="0" applyFont="1" applyFill="1" applyBorder="1" applyAlignment="1">
      <alignment horizontal="center" vertical="center" wrapText="1"/>
    </xf>
    <xf numFmtId="0" fontId="28" fillId="7" borderId="73" xfId="0" applyFont="1" applyFill="1" applyBorder="1" applyAlignment="1">
      <alignment horizontal="center" vertical="center" wrapText="1"/>
    </xf>
    <xf numFmtId="176" fontId="37" fillId="7" borderId="62" xfId="0" applyNumberFormat="1" applyFont="1" applyFill="1" applyBorder="1" applyAlignment="1">
      <alignment vertical="center" wrapText="1"/>
    </xf>
    <xf numFmtId="176" fontId="37" fillId="7" borderId="58" xfId="0" applyNumberFormat="1" applyFont="1" applyFill="1" applyBorder="1" applyAlignment="1">
      <alignment vertical="center" wrapText="1"/>
    </xf>
    <xf numFmtId="0" fontId="20" fillId="7" borderId="63" xfId="0" applyFont="1" applyFill="1" applyBorder="1" applyAlignment="1">
      <alignment horizontal="center" vertical="center"/>
    </xf>
    <xf numFmtId="0" fontId="20" fillId="7" borderId="72" xfId="0" applyFont="1" applyFill="1" applyBorder="1" applyAlignment="1">
      <alignment horizontal="center" vertical="center"/>
    </xf>
    <xf numFmtId="0" fontId="37" fillId="7" borderId="63" xfId="0" applyFont="1" applyFill="1" applyBorder="1" applyAlignment="1">
      <alignment horizontal="center" vertical="center" wrapText="1"/>
    </xf>
    <xf numFmtId="0" fontId="37" fillId="7" borderId="69" xfId="0" applyFont="1" applyFill="1" applyBorder="1" applyAlignment="1">
      <alignment horizontal="center" vertical="center" wrapText="1"/>
    </xf>
    <xf numFmtId="0" fontId="37" fillId="7" borderId="66" xfId="0" applyFont="1" applyFill="1" applyBorder="1" applyAlignment="1">
      <alignment horizontal="center" vertical="center" wrapText="1"/>
    </xf>
    <xf numFmtId="0" fontId="25" fillId="7" borderId="69" xfId="2" applyFont="1" applyFill="1" applyBorder="1" applyAlignment="1" applyProtection="1">
      <alignment horizontal="center" vertical="center"/>
      <protection locked="0"/>
    </xf>
    <xf numFmtId="0" fontId="25" fillId="7" borderId="69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 wrapText="1" shrinkToFit="1"/>
    </xf>
    <xf numFmtId="0" fontId="40" fillId="0" borderId="58" xfId="2" applyFont="1" applyBorder="1" applyAlignment="1" applyProtection="1">
      <alignment horizontal="center" vertical="center"/>
      <protection locked="0"/>
    </xf>
    <xf numFmtId="0" fontId="25" fillId="0" borderId="58" xfId="2" applyFont="1" applyBorder="1" applyAlignment="1" applyProtection="1">
      <alignment horizontal="center" vertical="center" wrapText="1"/>
      <protection locked="0"/>
    </xf>
    <xf numFmtId="0" fontId="25" fillId="12" borderId="58" xfId="2" applyFont="1" applyFill="1" applyBorder="1" applyAlignment="1" applyProtection="1">
      <alignment horizontal="center" vertical="center" wrapText="1"/>
      <protection locked="0"/>
    </xf>
    <xf numFmtId="0" fontId="25" fillId="12" borderId="70" xfId="0" applyFont="1" applyFill="1" applyBorder="1" applyAlignment="1">
      <alignment horizontal="center" vertical="center" wrapText="1"/>
    </xf>
    <xf numFmtId="0" fontId="25" fillId="7" borderId="69" xfId="2" applyFont="1" applyFill="1" applyBorder="1" applyAlignment="1">
      <alignment horizontal="center" vertical="center"/>
    </xf>
    <xf numFmtId="0" fontId="25" fillId="14" borderId="58" xfId="2" applyFont="1" applyFill="1" applyBorder="1" applyAlignment="1" applyProtection="1">
      <alignment horizontal="center" vertical="center"/>
      <protection locked="0"/>
    </xf>
    <xf numFmtId="0" fontId="25" fillId="14" borderId="58" xfId="2" applyFont="1" applyFill="1" applyBorder="1" applyAlignment="1">
      <alignment horizontal="center" vertical="center"/>
    </xf>
    <xf numFmtId="0" fontId="25" fillId="14" borderId="69" xfId="2" applyFont="1" applyFill="1" applyBorder="1" applyAlignment="1" applyProtection="1">
      <alignment horizontal="center" vertical="center"/>
      <protection locked="0"/>
    </xf>
    <xf numFmtId="49" fontId="25" fillId="14" borderId="58" xfId="2" applyNumberFormat="1" applyFont="1" applyFill="1" applyBorder="1" applyAlignment="1" applyProtection="1">
      <alignment horizontal="center" vertical="center"/>
      <protection locked="0"/>
    </xf>
    <xf numFmtId="0" fontId="25" fillId="14" borderId="71" xfId="2" applyFont="1" applyFill="1" applyBorder="1" applyAlignment="1" applyProtection="1">
      <alignment horizontal="center" vertical="center"/>
      <protection locked="0"/>
    </xf>
    <xf numFmtId="0" fontId="25" fillId="14" borderId="67" xfId="2" applyFont="1" applyFill="1" applyBorder="1" applyAlignment="1">
      <alignment horizontal="center" vertical="center"/>
    </xf>
    <xf numFmtId="0" fontId="25" fillId="7" borderId="67" xfId="2" applyFont="1" applyFill="1" applyBorder="1" applyAlignment="1">
      <alignment horizontal="center" vertical="center"/>
    </xf>
    <xf numFmtId="0" fontId="33" fillId="7" borderId="69" xfId="2" applyFont="1" applyFill="1" applyBorder="1" applyAlignment="1" applyProtection="1">
      <alignment horizontal="center" vertical="center"/>
      <protection locked="0"/>
    </xf>
    <xf numFmtId="0" fontId="25" fillId="12" borderId="67" xfId="2" applyFont="1" applyFill="1" applyBorder="1" applyAlignment="1" applyProtection="1">
      <alignment horizontal="center" vertical="center"/>
      <protection locked="0"/>
    </xf>
    <xf numFmtId="0" fontId="25" fillId="7" borderId="67" xfId="2" applyFont="1" applyFill="1" applyBorder="1" applyAlignment="1" applyProtection="1">
      <alignment horizontal="center" vertical="center"/>
      <protection locked="0"/>
    </xf>
    <xf numFmtId="0" fontId="25" fillId="14" borderId="78" xfId="2" applyFont="1" applyFill="1" applyBorder="1" applyAlignment="1" applyProtection="1">
      <alignment horizontal="center" vertical="center"/>
      <protection locked="0"/>
    </xf>
    <xf numFmtId="0" fontId="33" fillId="0" borderId="58" xfId="2" applyFont="1" applyBorder="1" applyAlignment="1" applyProtection="1">
      <alignment horizontal="center" vertical="center" wrapText="1"/>
      <protection locked="0"/>
    </xf>
    <xf numFmtId="0" fontId="13" fillId="0" borderId="81" xfId="0" applyFont="1" applyBorder="1" applyAlignment="1">
      <alignment horizontal="center" vertical="center"/>
    </xf>
    <xf numFmtId="0" fontId="13" fillId="5" borderId="81" xfId="0" applyFont="1" applyFill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0" fontId="3" fillId="3" borderId="83" xfId="0" applyFont="1" applyFill="1" applyBorder="1" applyAlignment="1">
      <alignment horizontal="center" vertical="center"/>
    </xf>
    <xf numFmtId="0" fontId="6" fillId="3" borderId="81" xfId="0" applyFont="1" applyFill="1" applyBorder="1" applyAlignment="1">
      <alignment horizontal="center" vertical="center"/>
    </xf>
    <xf numFmtId="0" fontId="6" fillId="3" borderId="82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6" fillId="3" borderId="46" xfId="0" applyFont="1" applyFill="1" applyBorder="1" applyAlignment="1">
      <alignment horizontal="center" vertical="center"/>
    </xf>
    <xf numFmtId="0" fontId="6" fillId="3" borderId="85" xfId="0" applyFont="1" applyFill="1" applyBorder="1" applyAlignment="1">
      <alignment horizontal="center" vertical="center"/>
    </xf>
    <xf numFmtId="0" fontId="25" fillId="12" borderId="68" xfId="0" applyFont="1" applyFill="1" applyBorder="1" applyAlignment="1">
      <alignment horizontal="center" vertical="center"/>
    </xf>
    <xf numFmtId="0" fontId="25" fillId="12" borderId="68" xfId="0" applyFont="1" applyFill="1" applyBorder="1" applyAlignment="1">
      <alignment horizontal="center" vertical="center" wrapText="1"/>
    </xf>
    <xf numFmtId="0" fontId="25" fillId="15" borderId="58" xfId="2" applyFont="1" applyFill="1" applyBorder="1" applyAlignment="1" applyProtection="1">
      <alignment horizontal="center" vertical="center"/>
      <protection locked="0"/>
    </xf>
    <xf numFmtId="0" fontId="13" fillId="0" borderId="8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6" fillId="0" borderId="60" xfId="2" applyFont="1" applyBorder="1" applyAlignment="1" applyProtection="1">
      <alignment horizontal="center" vertical="center" wrapText="1"/>
      <protection locked="0"/>
    </xf>
    <xf numFmtId="0" fontId="3" fillId="0" borderId="60" xfId="0" applyFont="1" applyBorder="1" applyAlignment="1">
      <alignment horizontal="center" vertical="center" wrapText="1"/>
    </xf>
    <xf numFmtId="0" fontId="6" fillId="0" borderId="54" xfId="2" applyFont="1" applyBorder="1" applyAlignment="1" applyProtection="1">
      <alignment horizontal="center" vertical="center" wrapText="1"/>
      <protection locked="0"/>
    </xf>
    <xf numFmtId="0" fontId="37" fillId="15" borderId="62" xfId="0" applyFont="1" applyFill="1" applyBorder="1" applyAlignment="1">
      <alignment horizontal="center" vertical="center" wrapText="1"/>
    </xf>
    <xf numFmtId="0" fontId="27" fillId="15" borderId="58" xfId="2" applyFont="1" applyFill="1" applyBorder="1" applyAlignment="1" applyProtection="1">
      <alignment horizontal="center" vertical="center"/>
      <protection locked="0"/>
    </xf>
    <xf numFmtId="0" fontId="34" fillId="16" borderId="58" xfId="2" applyFont="1" applyFill="1" applyBorder="1" applyAlignment="1" applyProtection="1">
      <alignment horizontal="center" vertical="center"/>
      <protection locked="0"/>
    </xf>
    <xf numFmtId="0" fontId="25" fillId="16" borderId="58" xfId="2" applyFont="1" applyFill="1" applyBorder="1" applyAlignment="1" applyProtection="1">
      <alignment horizontal="center" vertical="center"/>
      <protection locked="0"/>
    </xf>
    <xf numFmtId="0" fontId="25" fillId="16" borderId="67" xfId="2" applyFont="1" applyFill="1" applyBorder="1" applyAlignment="1" applyProtection="1">
      <alignment horizontal="center" vertical="center"/>
      <protection locked="0"/>
    </xf>
    <xf numFmtId="0" fontId="34" fillId="16" borderId="62" xfId="2" applyFont="1" applyFill="1" applyBorder="1" applyAlignment="1" applyProtection="1">
      <alignment horizontal="center" vertical="center"/>
      <protection locked="0"/>
    </xf>
    <xf numFmtId="0" fontId="25" fillId="16" borderId="62" xfId="2" applyFont="1" applyFill="1" applyBorder="1" applyAlignment="1" applyProtection="1">
      <alignment horizontal="center" vertical="center"/>
      <protection locked="0"/>
    </xf>
    <xf numFmtId="0" fontId="27" fillId="16" borderId="58" xfId="2" applyFont="1" applyFill="1" applyBorder="1" applyAlignment="1" applyProtection="1">
      <alignment horizontal="center" vertical="center"/>
      <protection locked="0"/>
    </xf>
    <xf numFmtId="0" fontId="27" fillId="16" borderId="68" xfId="0" applyFont="1" applyFill="1" applyBorder="1" applyAlignment="1">
      <alignment horizontal="center" vertical="center" wrapText="1"/>
    </xf>
    <xf numFmtId="0" fontId="25" fillId="16" borderId="58" xfId="2" applyFont="1" applyFill="1" applyBorder="1" applyAlignment="1">
      <alignment horizontal="center" vertical="center"/>
    </xf>
    <xf numFmtId="0" fontId="6" fillId="0" borderId="59" xfId="2" applyFont="1" applyBorder="1" applyAlignment="1" applyProtection="1">
      <alignment horizontal="center" vertical="center" wrapText="1"/>
      <protection locked="0"/>
    </xf>
    <xf numFmtId="0" fontId="25" fillId="16" borderId="64" xfId="2" applyFont="1" applyFill="1" applyBorder="1" applyAlignment="1" applyProtection="1">
      <alignment horizontal="center" vertical="center"/>
      <protection locked="0"/>
    </xf>
    <xf numFmtId="0" fontId="25" fillId="7" borderId="65" xfId="2" applyFont="1" applyFill="1" applyBorder="1" applyAlignment="1" applyProtection="1">
      <alignment horizontal="center" vertical="center"/>
      <protection locked="0"/>
    </xf>
    <xf numFmtId="0" fontId="25" fillId="0" borderId="65" xfId="2" applyFont="1" applyBorder="1" applyAlignment="1" applyProtection="1">
      <alignment horizontal="center" vertical="center"/>
      <protection locked="0"/>
    </xf>
    <xf numFmtId="0" fontId="25" fillId="14" borderId="65" xfId="2" applyFont="1" applyFill="1" applyBorder="1" applyAlignment="1" applyProtection="1">
      <alignment horizontal="center" vertical="center"/>
      <protection locked="0"/>
    </xf>
    <xf numFmtId="0" fontId="25" fillId="12" borderId="65" xfId="2" applyFont="1" applyFill="1" applyBorder="1" applyAlignment="1" applyProtection="1">
      <alignment horizontal="center" vertical="center"/>
      <protection locked="0"/>
    </xf>
    <xf numFmtId="0" fontId="25" fillId="14" borderId="65" xfId="2" applyFont="1" applyFill="1" applyBorder="1" applyAlignment="1">
      <alignment horizontal="center" vertical="center"/>
    </xf>
    <xf numFmtId="0" fontId="25" fillId="7" borderId="66" xfId="2" applyFont="1" applyFill="1" applyBorder="1" applyAlignment="1" applyProtection="1">
      <alignment horizontal="center" vertical="center"/>
      <protection locked="0"/>
    </xf>
    <xf numFmtId="0" fontId="6" fillId="4" borderId="89" xfId="0" applyFont="1" applyFill="1" applyBorder="1" applyAlignment="1">
      <alignment horizontal="center" vertical="center" wrapText="1"/>
    </xf>
    <xf numFmtId="0" fontId="26" fillId="12" borderId="90" xfId="2" applyFont="1" applyFill="1" applyBorder="1" applyAlignment="1">
      <alignment horizontal="center" vertical="center" wrapText="1"/>
    </xf>
    <xf numFmtId="0" fontId="26" fillId="7" borderId="91" xfId="2" applyFont="1" applyFill="1" applyBorder="1" applyAlignment="1">
      <alignment horizontal="center" vertical="center" wrapText="1"/>
    </xf>
    <xf numFmtId="0" fontId="26" fillId="0" borderId="91" xfId="2" applyFont="1" applyBorder="1" applyAlignment="1">
      <alignment horizontal="center" vertical="center" wrapText="1"/>
    </xf>
    <xf numFmtId="0" fontId="26" fillId="12" borderId="91" xfId="2" applyFont="1" applyFill="1" applyBorder="1" applyAlignment="1">
      <alignment horizontal="center" vertical="center" wrapText="1"/>
    </xf>
    <xf numFmtId="0" fontId="26" fillId="7" borderId="92" xfId="2" applyFont="1" applyFill="1" applyBorder="1" applyAlignment="1">
      <alignment horizontal="center" vertical="center" wrapText="1"/>
    </xf>
    <xf numFmtId="49" fontId="33" fillId="7" borderId="58" xfId="2" applyNumberFormat="1" applyFont="1" applyFill="1" applyBorder="1" applyAlignment="1" applyProtection="1">
      <alignment horizontal="center" vertical="center"/>
      <protection locked="0"/>
    </xf>
    <xf numFmtId="0" fontId="34" fillId="0" borderId="58" xfId="2" applyFont="1" applyBorder="1" applyAlignment="1" applyProtection="1">
      <alignment horizontal="center" vertical="center"/>
      <protection locked="0"/>
    </xf>
    <xf numFmtId="0" fontId="34" fillId="0" borderId="79" xfId="2" applyFont="1" applyBorder="1" applyAlignment="1" applyProtection="1">
      <alignment horizontal="center" vertical="center"/>
      <protection locked="0"/>
    </xf>
    <xf numFmtId="0" fontId="34" fillId="12" borderId="58" xfId="2" applyFont="1" applyFill="1" applyBorder="1" applyAlignment="1" applyProtection="1">
      <alignment horizontal="center" vertical="center"/>
      <protection locked="0"/>
    </xf>
    <xf numFmtId="0" fontId="34" fillId="7" borderId="58" xfId="2" applyFont="1" applyFill="1" applyBorder="1" applyAlignment="1" applyProtection="1">
      <alignment horizontal="center" vertical="center"/>
      <protection locked="0"/>
    </xf>
    <xf numFmtId="0" fontId="34" fillId="16" borderId="67" xfId="2" applyFont="1" applyFill="1" applyBorder="1" applyAlignment="1" applyProtection="1">
      <alignment horizontal="center" vertical="center"/>
      <protection locked="0"/>
    </xf>
    <xf numFmtId="0" fontId="27" fillId="7" borderId="58" xfId="2" applyFont="1" applyFill="1" applyBorder="1" applyAlignment="1" applyProtection="1">
      <alignment horizontal="center" vertical="center"/>
      <protection locked="0"/>
    </xf>
    <xf numFmtId="0" fontId="25" fillId="14" borderId="93" xfId="0" applyFont="1" applyFill="1" applyBorder="1" applyAlignment="1">
      <alignment horizontal="center" vertical="center"/>
    </xf>
    <xf numFmtId="0" fontId="25" fillId="7" borderId="94" xfId="2" applyFont="1" applyFill="1" applyBorder="1" applyAlignment="1" applyProtection="1">
      <alignment horizontal="center" vertical="center"/>
      <protection locked="0"/>
    </xf>
    <xf numFmtId="0" fontId="34" fillId="0" borderId="71" xfId="2" applyFont="1" applyBorder="1" applyAlignment="1" applyProtection="1">
      <alignment horizontal="center" vertical="center"/>
      <protection locked="0"/>
    </xf>
    <xf numFmtId="0" fontId="34" fillId="7" borderId="71" xfId="2" applyFont="1" applyFill="1" applyBorder="1" applyAlignment="1" applyProtection="1">
      <alignment horizontal="center" vertical="center"/>
      <protection locked="0"/>
    </xf>
    <xf numFmtId="0" fontId="25" fillId="12" borderId="73" xfId="0" applyFont="1" applyFill="1" applyBorder="1" applyAlignment="1">
      <alignment vertical="center" wrapText="1"/>
    </xf>
    <xf numFmtId="0" fontId="34" fillId="7" borderId="2" xfId="2" applyFont="1" applyFill="1" applyBorder="1" applyAlignment="1" applyProtection="1">
      <alignment horizontal="center" vertical="center"/>
      <protection locked="0"/>
    </xf>
    <xf numFmtId="0" fontId="25" fillId="15" borderId="2" xfId="2" applyFont="1" applyFill="1" applyBorder="1" applyAlignment="1" applyProtection="1">
      <alignment horizontal="center" vertical="center"/>
      <protection locked="0"/>
    </xf>
    <xf numFmtId="0" fontId="13" fillId="0" borderId="9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5" borderId="31" xfId="0" applyFont="1" applyFill="1" applyBorder="1" applyAlignment="1">
      <alignment horizontal="center" vertical="center"/>
    </xf>
    <xf numFmtId="0" fontId="13" fillId="0" borderId="96" xfId="0" applyFont="1" applyBorder="1" applyAlignment="1">
      <alignment horizontal="center" vertical="center"/>
    </xf>
    <xf numFmtId="0" fontId="6" fillId="3" borderId="31" xfId="0" applyFont="1" applyFill="1" applyBorder="1" applyAlignment="1">
      <alignment horizontal="center" vertical="center"/>
    </xf>
    <xf numFmtId="0" fontId="27" fillId="12" borderId="58" xfId="2" applyFont="1" applyFill="1" applyBorder="1" applyAlignment="1" applyProtection="1">
      <alignment horizontal="center" vertical="center"/>
      <protection locked="0"/>
    </xf>
    <xf numFmtId="0" fontId="27" fillId="7" borderId="65" xfId="2" applyFont="1" applyFill="1" applyBorder="1" applyAlignment="1" applyProtection="1">
      <alignment horizontal="center" vertical="center"/>
      <protection locked="0"/>
    </xf>
    <xf numFmtId="0" fontId="27" fillId="12" borderId="58" xfId="2" applyFont="1" applyFill="1" applyBorder="1" applyAlignment="1">
      <alignment horizontal="center" vertical="center"/>
    </xf>
    <xf numFmtId="0" fontId="27" fillId="0" borderId="58" xfId="2" applyFont="1" applyBorder="1" applyAlignment="1" applyProtection="1">
      <alignment horizontal="center" vertical="center"/>
      <protection locked="0"/>
    </xf>
    <xf numFmtId="0" fontId="27" fillId="12" borderId="71" xfId="2" applyFont="1" applyFill="1" applyBorder="1" applyAlignment="1" applyProtection="1">
      <alignment horizontal="center" vertical="center"/>
      <protection locked="0"/>
    </xf>
    <xf numFmtId="0" fontId="27" fillId="0" borderId="67" xfId="2" applyFont="1" applyBorder="1" applyAlignment="1" applyProtection="1">
      <alignment horizontal="center" vertical="center"/>
      <protection locked="0"/>
    </xf>
    <xf numFmtId="0" fontId="25" fillId="17" borderId="67" xfId="2" applyFont="1" applyFill="1" applyBorder="1" applyAlignment="1" applyProtection="1">
      <alignment horizontal="center" vertical="center"/>
      <protection locked="0"/>
    </xf>
    <xf numFmtId="0" fontId="25" fillId="12" borderId="61" xfId="0" applyFont="1" applyFill="1" applyBorder="1" applyAlignment="1">
      <alignment horizontal="center" vertical="center" wrapText="1"/>
    </xf>
    <xf numFmtId="49" fontId="25" fillId="7" borderId="62" xfId="2" applyNumberFormat="1" applyFont="1" applyFill="1" applyBorder="1" applyAlignment="1" applyProtection="1">
      <alignment horizontal="center" vertical="center"/>
      <protection locked="0"/>
    </xf>
    <xf numFmtId="0" fontId="27" fillId="16" borderId="62" xfId="2" applyFont="1" applyFill="1" applyBorder="1" applyAlignment="1" applyProtection="1">
      <alignment horizontal="center" vertical="center"/>
      <protection locked="0"/>
    </xf>
    <xf numFmtId="0" fontId="27" fillId="0" borderId="98" xfId="2" applyFont="1" applyBorder="1" applyAlignment="1" applyProtection="1">
      <alignment horizontal="center" vertical="center"/>
      <protection locked="0"/>
    </xf>
    <xf numFmtId="49" fontId="25" fillId="0" borderId="62" xfId="2" applyNumberFormat="1" applyFont="1" applyBorder="1" applyAlignment="1" applyProtection="1">
      <alignment horizontal="center" vertical="center"/>
      <protection locked="0"/>
    </xf>
    <xf numFmtId="0" fontId="25" fillId="14" borderId="62" xfId="2" applyFont="1" applyFill="1" applyBorder="1" applyAlignment="1">
      <alignment horizontal="center" vertical="center"/>
    </xf>
    <xf numFmtId="0" fontId="25" fillId="7" borderId="62" xfId="2" applyFont="1" applyFill="1" applyBorder="1" applyAlignment="1">
      <alignment horizontal="center" vertical="center"/>
    </xf>
    <xf numFmtId="0" fontId="34" fillId="0" borderId="75" xfId="2" applyFont="1" applyBorder="1" applyAlignment="1" applyProtection="1">
      <alignment horizontal="center" vertical="center"/>
      <protection locked="0"/>
    </xf>
    <xf numFmtId="0" fontId="25" fillId="13" borderId="62" xfId="2" applyFont="1" applyFill="1" applyBorder="1" applyAlignment="1" applyProtection="1">
      <alignment horizontal="center" vertical="center"/>
      <protection locked="0"/>
    </xf>
    <xf numFmtId="0" fontId="33" fillId="16" borderId="62" xfId="2" applyFont="1" applyFill="1" applyBorder="1" applyAlignment="1" applyProtection="1">
      <alignment horizontal="center" vertical="center"/>
      <protection locked="0"/>
    </xf>
    <xf numFmtId="0" fontId="27" fillId="12" borderId="62" xfId="2" applyFont="1" applyFill="1" applyBorder="1" applyAlignment="1" applyProtection="1">
      <alignment horizontal="center" vertical="center"/>
      <protection locked="0"/>
    </xf>
    <xf numFmtId="0" fontId="25" fillId="13" borderId="63" xfId="2" applyFont="1" applyFill="1" applyBorder="1" applyAlignment="1" applyProtection="1">
      <alignment horizontal="center" vertical="center"/>
      <protection locked="0"/>
    </xf>
    <xf numFmtId="0" fontId="34" fillId="7" borderId="69" xfId="2" applyFont="1" applyFill="1" applyBorder="1" applyAlignment="1" applyProtection="1">
      <alignment horizontal="center" vertical="center"/>
      <protection locked="0"/>
    </xf>
    <xf numFmtId="0" fontId="27" fillId="7" borderId="44" xfId="2" applyFont="1" applyFill="1" applyBorder="1" applyAlignment="1" applyProtection="1">
      <alignment horizontal="center" vertical="center"/>
      <protection locked="0"/>
    </xf>
    <xf numFmtId="0" fontId="25" fillId="12" borderId="64" xfId="0" applyFont="1" applyFill="1" applyBorder="1" applyAlignment="1">
      <alignment horizontal="center" vertical="center" wrapText="1"/>
    </xf>
    <xf numFmtId="0" fontId="25" fillId="7" borderId="65" xfId="0" applyFont="1" applyFill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0" fontId="25" fillId="12" borderId="65" xfId="0" applyFont="1" applyFill="1" applyBorder="1" applyAlignment="1">
      <alignment horizontal="center" vertical="center" wrapText="1"/>
    </xf>
    <xf numFmtId="0" fontId="25" fillId="0" borderId="65" xfId="0" applyFont="1" applyBorder="1" applyAlignment="1">
      <alignment vertical="center" wrapText="1"/>
    </xf>
    <xf numFmtId="0" fontId="25" fillId="12" borderId="65" xfId="0" applyFont="1" applyFill="1" applyBorder="1" applyAlignment="1">
      <alignment vertical="center" wrapText="1"/>
    </xf>
    <xf numFmtId="0" fontId="25" fillId="7" borderId="65" xfId="0" applyFont="1" applyFill="1" applyBorder="1" applyAlignment="1">
      <alignment vertical="center" wrapText="1"/>
    </xf>
    <xf numFmtId="0" fontId="25" fillId="7" borderId="66" xfId="0" applyFont="1" applyFill="1" applyBorder="1" applyAlignment="1">
      <alignment vertical="center" wrapText="1"/>
    </xf>
    <xf numFmtId="0" fontId="13" fillId="0" borderId="56" xfId="0" applyFont="1" applyBorder="1" applyAlignment="1">
      <alignment horizontal="center" vertical="center"/>
    </xf>
    <xf numFmtId="0" fontId="25" fillId="12" borderId="99" xfId="0" applyFont="1" applyFill="1" applyBorder="1" applyAlignment="1">
      <alignment horizontal="center" vertical="center" wrapText="1"/>
    </xf>
    <xf numFmtId="0" fontId="25" fillId="7" borderId="98" xfId="2" applyFont="1" applyFill="1" applyBorder="1" applyAlignment="1" applyProtection="1">
      <alignment horizontal="center" vertical="center"/>
      <protection locked="0"/>
    </xf>
    <xf numFmtId="0" fontId="25" fillId="0" borderId="98" xfId="2" applyFont="1" applyBorder="1" applyAlignment="1" applyProtection="1">
      <alignment horizontal="center" vertical="center"/>
      <protection locked="0"/>
    </xf>
    <xf numFmtId="0" fontId="25" fillId="0" borderId="98" xfId="2" applyFont="1" applyBorder="1" applyAlignment="1">
      <alignment horizontal="center" vertical="center"/>
    </xf>
    <xf numFmtId="0" fontId="25" fillId="12" borderId="98" xfId="2" applyFont="1" applyFill="1" applyBorder="1" applyAlignment="1" applyProtection="1">
      <alignment horizontal="center" vertical="center"/>
      <protection locked="0"/>
    </xf>
    <xf numFmtId="0" fontId="25" fillId="13" borderId="98" xfId="2" applyFont="1" applyFill="1" applyBorder="1" applyAlignment="1">
      <alignment horizontal="center" vertical="center"/>
    </xf>
    <xf numFmtId="0" fontId="25" fillId="0" borderId="100" xfId="2" applyFont="1" applyBorder="1" applyAlignment="1" applyProtection="1">
      <alignment horizontal="center" vertical="center"/>
      <protection locked="0"/>
    </xf>
    <xf numFmtId="0" fontId="32" fillId="12" borderId="101" xfId="2" applyFont="1" applyFill="1" applyBorder="1" applyAlignment="1" applyProtection="1">
      <alignment horizontal="center" vertical="center"/>
      <protection locked="0"/>
    </xf>
    <xf numFmtId="0" fontId="32" fillId="7" borderId="102" xfId="2" applyFont="1" applyFill="1" applyBorder="1" applyAlignment="1" applyProtection="1">
      <alignment horizontal="center" vertical="center"/>
      <protection locked="0"/>
    </xf>
    <xf numFmtId="0" fontId="32" fillId="0" borderId="103" xfId="2" applyFont="1" applyBorder="1" applyAlignment="1" applyProtection="1">
      <alignment horizontal="center" vertical="center"/>
      <protection locked="0"/>
    </xf>
    <xf numFmtId="0" fontId="25" fillId="0" borderId="104" xfId="2" applyFont="1" applyBorder="1" applyAlignment="1" applyProtection="1">
      <alignment horizontal="center" vertical="center"/>
      <protection locked="0"/>
    </xf>
    <xf numFmtId="0" fontId="25" fillId="13" borderId="98" xfId="2" applyFont="1" applyFill="1" applyBorder="1" applyAlignment="1" applyProtection="1">
      <alignment horizontal="center" vertical="center"/>
      <protection locked="0"/>
    </xf>
    <xf numFmtId="0" fontId="25" fillId="7" borderId="105" xfId="2" applyFont="1" applyFill="1" applyBorder="1" applyAlignment="1" applyProtection="1">
      <alignment horizontal="center" vertical="center"/>
      <protection locked="0"/>
    </xf>
    <xf numFmtId="0" fontId="25" fillId="12" borderId="76" xfId="2" applyFont="1" applyFill="1" applyBorder="1" applyAlignment="1" applyProtection="1">
      <alignment horizontal="center" vertical="center"/>
      <protection locked="0"/>
    </xf>
    <xf numFmtId="0" fontId="25" fillId="7" borderId="77" xfId="2" applyFont="1" applyFill="1" applyBorder="1" applyAlignment="1" applyProtection="1">
      <alignment horizontal="center" vertical="center"/>
      <protection locked="0"/>
    </xf>
    <xf numFmtId="0" fontId="6" fillId="0" borderId="106" xfId="0" applyFont="1" applyBorder="1" applyAlignment="1">
      <alignment horizontal="center" vertical="center" wrapText="1"/>
    </xf>
    <xf numFmtId="0" fontId="6" fillId="0" borderId="107" xfId="0" applyFont="1" applyBorder="1" applyAlignment="1">
      <alignment horizontal="center" vertical="center" wrapText="1"/>
    </xf>
    <xf numFmtId="0" fontId="21" fillId="0" borderId="89" xfId="0" applyFont="1" applyBorder="1" applyAlignment="1">
      <alignment horizontal="center" vertical="center" wrapText="1"/>
    </xf>
    <xf numFmtId="0" fontId="3" fillId="3" borderId="84" xfId="0" applyFont="1" applyFill="1" applyBorder="1" applyAlignment="1">
      <alignment horizontal="center" vertical="center"/>
    </xf>
    <xf numFmtId="0" fontId="3" fillId="3" borderId="108" xfId="0" applyFont="1" applyFill="1" applyBorder="1" applyAlignment="1">
      <alignment horizontal="center" vertical="center"/>
    </xf>
    <xf numFmtId="0" fontId="3" fillId="3" borderId="97" xfId="0" applyFont="1" applyFill="1" applyBorder="1" applyAlignment="1">
      <alignment horizontal="center" vertical="center"/>
    </xf>
    <xf numFmtId="0" fontId="3" fillId="3" borderId="109" xfId="0" applyFont="1" applyFill="1" applyBorder="1" applyAlignment="1">
      <alignment horizontal="center" vertical="center"/>
    </xf>
    <xf numFmtId="0" fontId="6" fillId="3" borderId="110" xfId="0" applyFont="1" applyFill="1" applyBorder="1" applyAlignment="1">
      <alignment horizontal="center" vertical="center"/>
    </xf>
    <xf numFmtId="0" fontId="3" fillId="3" borderId="111" xfId="0" applyFont="1" applyFill="1" applyBorder="1" applyAlignment="1">
      <alignment horizontal="center" vertical="center"/>
    </xf>
    <xf numFmtId="0" fontId="6" fillId="3" borderId="88" xfId="0" applyFont="1" applyFill="1" applyBorder="1" applyAlignment="1">
      <alignment horizontal="center" vertical="center"/>
    </xf>
    <xf numFmtId="0" fontId="3" fillId="3" borderId="87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/>
    </xf>
    <xf numFmtId="0" fontId="27" fillId="7" borderId="98" xfId="2" applyFont="1" applyFill="1" applyBorder="1" applyAlignment="1" applyProtection="1">
      <alignment horizontal="center" vertical="center"/>
      <protection locked="0"/>
    </xf>
    <xf numFmtId="49" fontId="25" fillId="7" borderId="67" xfId="2" applyNumberFormat="1" applyFont="1" applyFill="1" applyBorder="1" applyAlignment="1" applyProtection="1">
      <alignment horizontal="center" vertical="center" wrapText="1"/>
      <protection locked="0"/>
    </xf>
    <xf numFmtId="0" fontId="25" fillId="16" borderId="68" xfId="2" applyFont="1" applyFill="1" applyBorder="1" applyAlignment="1" applyProtection="1">
      <alignment horizontal="center" vertical="center"/>
      <protection locked="0"/>
    </xf>
    <xf numFmtId="0" fontId="32" fillId="16" borderId="58" xfId="2" applyFont="1" applyFill="1" applyBorder="1" applyAlignment="1" applyProtection="1">
      <alignment horizontal="center" vertical="center"/>
      <protection locked="0"/>
    </xf>
    <xf numFmtId="0" fontId="34" fillId="0" borderId="98" xfId="2" applyFont="1" applyBorder="1" applyAlignment="1" applyProtection="1">
      <alignment horizontal="center" vertical="center"/>
      <protection locked="0"/>
    </xf>
    <xf numFmtId="0" fontId="34" fillId="16" borderId="79" xfId="2" applyFont="1" applyFill="1" applyBorder="1" applyAlignment="1" applyProtection="1">
      <alignment horizontal="center" vertical="center"/>
      <protection locked="0"/>
    </xf>
    <xf numFmtId="0" fontId="33" fillId="16" borderId="58" xfId="2" applyFont="1" applyFill="1" applyBorder="1" applyAlignment="1">
      <alignment horizontal="center" vertical="center"/>
    </xf>
    <xf numFmtId="0" fontId="38" fillId="0" borderId="58" xfId="0" applyFont="1" applyBorder="1" applyAlignment="1">
      <alignment horizontal="center" vertical="center" wrapText="1"/>
    </xf>
    <xf numFmtId="0" fontId="28" fillId="0" borderId="73" xfId="0" applyFont="1" applyBorder="1" applyAlignment="1">
      <alignment horizontal="center" vertical="center"/>
    </xf>
    <xf numFmtId="0" fontId="21" fillId="0" borderId="116" xfId="0" applyFont="1" applyBorder="1" applyAlignment="1">
      <alignment horizontal="center" vertical="center" wrapText="1"/>
    </xf>
    <xf numFmtId="0" fontId="20" fillId="12" borderId="73" xfId="0" applyFont="1" applyFill="1" applyBorder="1" applyAlignment="1">
      <alignment horizontal="center" vertical="center" wrapText="1"/>
    </xf>
    <xf numFmtId="0" fontId="3" fillId="0" borderId="41" xfId="0" applyFont="1" applyBorder="1" applyAlignment="1">
      <alignment horizontal="center" vertical="center" wrapText="1"/>
    </xf>
    <xf numFmtId="0" fontId="6" fillId="0" borderId="37" xfId="2" applyFont="1" applyBorder="1" applyAlignment="1" applyProtection="1">
      <alignment horizontal="center" vertical="center" wrapText="1"/>
      <protection locked="0"/>
    </xf>
    <xf numFmtId="0" fontId="3" fillId="0" borderId="37" xfId="0" applyFont="1" applyBorder="1" applyAlignment="1">
      <alignment horizontal="center" vertical="center" wrapText="1"/>
    </xf>
    <xf numFmtId="0" fontId="6" fillId="0" borderId="39" xfId="2" applyFont="1" applyBorder="1" applyAlignment="1" applyProtection="1">
      <alignment horizontal="center" vertical="center" wrapText="1"/>
      <protection locked="0"/>
    </xf>
    <xf numFmtId="0" fontId="6" fillId="0" borderId="39" xfId="2" applyFont="1" applyBorder="1" applyAlignment="1" applyProtection="1">
      <alignment horizontal="center" vertical="center"/>
      <protection locked="0"/>
    </xf>
    <xf numFmtId="0" fontId="6" fillId="0" borderId="34" xfId="2" applyFont="1" applyBorder="1" applyAlignment="1" applyProtection="1">
      <alignment horizontal="center" vertical="center" wrapText="1"/>
      <protection locked="0"/>
    </xf>
    <xf numFmtId="0" fontId="28" fillId="0" borderId="132" xfId="0" applyFont="1" applyBorder="1" applyAlignment="1">
      <alignment horizontal="center" vertical="center" wrapText="1"/>
    </xf>
    <xf numFmtId="0" fontId="26" fillId="0" borderId="134" xfId="2" applyFont="1" applyBorder="1" applyAlignment="1">
      <alignment horizontal="center" vertical="center" wrapText="1"/>
    </xf>
    <xf numFmtId="0" fontId="20" fillId="0" borderId="117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12" borderId="118" xfId="0" applyFont="1" applyFill="1" applyBorder="1" applyAlignment="1">
      <alignment horizontal="center" vertical="center"/>
    </xf>
    <xf numFmtId="0" fontId="20" fillId="7" borderId="119" xfId="0" applyFont="1" applyFill="1" applyBorder="1" applyAlignment="1">
      <alignment horizontal="center" vertical="center"/>
    </xf>
    <xf numFmtId="0" fontId="38" fillId="7" borderId="121" xfId="0" applyFont="1" applyFill="1" applyBorder="1" applyAlignment="1">
      <alignment vertical="center" wrapText="1"/>
    </xf>
    <xf numFmtId="176" fontId="28" fillId="0" borderId="141" xfId="0" applyNumberFormat="1" applyFont="1" applyBorder="1" applyAlignment="1">
      <alignment horizontal="center" vertical="center" wrapText="1"/>
    </xf>
    <xf numFmtId="0" fontId="28" fillId="7" borderId="142" xfId="0" applyFont="1" applyFill="1" applyBorder="1" applyAlignment="1">
      <alignment horizontal="center" vertical="center" wrapText="1"/>
    </xf>
    <xf numFmtId="0" fontId="25" fillId="0" borderId="143" xfId="0" applyFont="1" applyBorder="1" applyAlignment="1">
      <alignment horizontal="center" vertical="center" wrapText="1"/>
    </xf>
    <xf numFmtId="0" fontId="25" fillId="7" borderId="144" xfId="2" applyFont="1" applyFill="1" applyBorder="1" applyAlignment="1">
      <alignment horizontal="center" vertical="center"/>
    </xf>
    <xf numFmtId="0" fontId="26" fillId="0" borderId="149" xfId="2" applyFont="1" applyBorder="1" applyAlignment="1">
      <alignment horizontal="center" vertical="center" wrapText="1"/>
    </xf>
    <xf numFmtId="0" fontId="26" fillId="0" borderId="150" xfId="2" applyFont="1" applyBorder="1" applyAlignment="1">
      <alignment horizontal="center" vertical="center" wrapText="1"/>
    </xf>
    <xf numFmtId="0" fontId="26" fillId="12" borderId="150" xfId="2" applyFont="1" applyFill="1" applyBorder="1" applyAlignment="1">
      <alignment horizontal="center" vertical="center" wrapText="1"/>
    </xf>
    <xf numFmtId="0" fontId="26" fillId="7" borderId="151" xfId="2" applyFont="1" applyFill="1" applyBorder="1" applyAlignment="1">
      <alignment horizontal="center" vertical="center" wrapText="1"/>
    </xf>
    <xf numFmtId="0" fontId="28" fillId="0" borderId="141" xfId="0" applyFont="1" applyBorder="1" applyAlignment="1">
      <alignment horizontal="center" vertical="center" wrapText="1"/>
    </xf>
    <xf numFmtId="0" fontId="38" fillId="0" borderId="120" xfId="0" applyFont="1" applyBorder="1" applyAlignment="1">
      <alignment vertical="center" wrapText="1"/>
    </xf>
    <xf numFmtId="0" fontId="32" fillId="0" borderId="154" xfId="2" applyFont="1" applyBorder="1" applyAlignment="1" applyProtection="1">
      <alignment horizontal="center" vertical="center"/>
      <protection locked="0"/>
    </xf>
    <xf numFmtId="0" fontId="25" fillId="7" borderId="144" xfId="2" applyFont="1" applyFill="1" applyBorder="1" applyAlignment="1" applyProtection="1">
      <alignment horizontal="center" vertical="center"/>
      <protection locked="0"/>
    </xf>
    <xf numFmtId="0" fontId="20" fillId="7" borderId="118" xfId="0" applyFont="1" applyFill="1" applyBorder="1" applyAlignment="1">
      <alignment horizontal="center" vertical="center"/>
    </xf>
    <xf numFmtId="0" fontId="26" fillId="7" borderId="150" xfId="2" applyFont="1" applyFill="1" applyBorder="1" applyAlignment="1">
      <alignment horizontal="center" vertical="center" wrapText="1"/>
    </xf>
    <xf numFmtId="0" fontId="38" fillId="0" borderId="156" xfId="0" applyFont="1" applyBorder="1" applyAlignment="1">
      <alignment vertical="center" wrapText="1"/>
    </xf>
    <xf numFmtId="0" fontId="38" fillId="12" borderId="67" xfId="0" applyFont="1" applyFill="1" applyBorder="1" applyAlignment="1">
      <alignment horizontal="center" vertical="center" wrapText="1"/>
    </xf>
    <xf numFmtId="0" fontId="38" fillId="12" borderId="67" xfId="0" applyFont="1" applyFill="1" applyBorder="1" applyAlignment="1">
      <alignment vertical="center" wrapText="1"/>
    </xf>
    <xf numFmtId="0" fontId="38" fillId="0" borderId="153" xfId="0" applyFont="1" applyBorder="1" applyAlignment="1">
      <alignment vertical="center" wrapText="1"/>
    </xf>
    <xf numFmtId="0" fontId="38" fillId="0" borderId="67" xfId="0" applyFont="1" applyBorder="1" applyAlignment="1">
      <alignment horizontal="center" vertical="center" wrapText="1"/>
    </xf>
    <xf numFmtId="0" fontId="38" fillId="7" borderId="147" xfId="0" applyFont="1" applyFill="1" applyBorder="1" applyAlignment="1">
      <alignment vertical="center" wrapText="1"/>
    </xf>
    <xf numFmtId="0" fontId="20" fillId="0" borderId="133" xfId="0" applyFont="1" applyBorder="1" applyAlignment="1">
      <alignment horizontal="center" vertical="center"/>
    </xf>
    <xf numFmtId="0" fontId="20" fillId="0" borderId="128" xfId="0" applyFont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0" fontId="20" fillId="0" borderId="122" xfId="0" applyFont="1" applyBorder="1" applyAlignment="1">
      <alignment horizontal="center" vertical="center"/>
    </xf>
    <xf numFmtId="0" fontId="20" fillId="0" borderId="123" xfId="0" applyFont="1" applyBorder="1" applyAlignment="1">
      <alignment horizontal="center" vertical="center"/>
    </xf>
    <xf numFmtId="0" fontId="20" fillId="12" borderId="123" xfId="0" applyFont="1" applyFill="1" applyBorder="1" applyAlignment="1">
      <alignment horizontal="center" vertical="center"/>
    </xf>
    <xf numFmtId="0" fontId="20" fillId="7" borderId="125" xfId="0" applyFont="1" applyFill="1" applyBorder="1" applyAlignment="1">
      <alignment horizontal="center" vertical="center"/>
    </xf>
    <xf numFmtId="0" fontId="20" fillId="7" borderId="123" xfId="0" applyFont="1" applyFill="1" applyBorder="1" applyAlignment="1">
      <alignment horizontal="center" vertical="center"/>
    </xf>
    <xf numFmtId="0" fontId="20" fillId="0" borderId="124" xfId="0" applyFont="1" applyBorder="1" applyAlignment="1">
      <alignment horizontal="center" vertical="center"/>
    </xf>
    <xf numFmtId="0" fontId="20" fillId="0" borderId="125" xfId="0" applyFont="1" applyBorder="1" applyAlignment="1">
      <alignment horizontal="center" vertical="center"/>
    </xf>
    <xf numFmtId="0" fontId="38" fillId="0" borderId="114" xfId="0" applyFont="1" applyBorder="1" applyAlignment="1">
      <alignment horizontal="center" vertical="center" wrapText="1"/>
    </xf>
    <xf numFmtId="0" fontId="38" fillId="12" borderId="58" xfId="0" applyFont="1" applyFill="1" applyBorder="1" applyAlignment="1">
      <alignment horizontal="center" vertical="center" wrapText="1"/>
    </xf>
    <xf numFmtId="0" fontId="38" fillId="7" borderId="67" xfId="0" applyFont="1" applyFill="1" applyBorder="1" applyAlignment="1">
      <alignment horizontal="center" vertical="center" wrapText="1"/>
    </xf>
    <xf numFmtId="176" fontId="38" fillId="0" borderId="153" xfId="0" applyNumberFormat="1" applyFont="1" applyBorder="1" applyAlignment="1">
      <alignment horizontal="center" vertical="center" wrapText="1"/>
    </xf>
    <xf numFmtId="0" fontId="38" fillId="7" borderId="147" xfId="0" applyFont="1" applyFill="1" applyBorder="1" applyAlignment="1">
      <alignment horizontal="center" vertical="center" wrapText="1"/>
    </xf>
    <xf numFmtId="0" fontId="38" fillId="0" borderId="67" xfId="0" applyFont="1" applyBorder="1" applyAlignment="1">
      <alignment vertical="center" wrapText="1"/>
    </xf>
    <xf numFmtId="176" fontId="38" fillId="0" borderId="67" xfId="0" applyNumberFormat="1" applyFont="1" applyBorder="1" applyAlignment="1">
      <alignment vertical="center" wrapText="1"/>
    </xf>
    <xf numFmtId="0" fontId="38" fillId="0" borderId="127" xfId="0" applyFont="1" applyBorder="1" applyAlignment="1">
      <alignment horizontal="center" vertical="center" wrapText="1"/>
    </xf>
    <xf numFmtId="0" fontId="38" fillId="0" borderId="77" xfId="0" applyFont="1" applyBorder="1" applyAlignment="1">
      <alignment horizontal="center" vertical="center" wrapText="1"/>
    </xf>
    <xf numFmtId="176" fontId="38" fillId="0" borderId="120" xfId="0" applyNumberFormat="1" applyFont="1" applyBorder="1" applyAlignment="1">
      <alignment horizontal="center" vertical="center" wrapText="1"/>
    </xf>
    <xf numFmtId="176" fontId="38" fillId="0" borderId="58" xfId="0" applyNumberFormat="1" applyFont="1" applyBorder="1" applyAlignment="1">
      <alignment vertical="center" wrapText="1"/>
    </xf>
    <xf numFmtId="0" fontId="38" fillId="0" borderId="79" xfId="0" applyFont="1" applyBorder="1" applyAlignment="1">
      <alignment horizontal="center" vertical="center" wrapText="1"/>
    </xf>
    <xf numFmtId="0" fontId="38" fillId="0" borderId="78" xfId="0" applyFont="1" applyBorder="1" applyAlignment="1">
      <alignment horizontal="center" vertical="center" wrapText="1"/>
    </xf>
    <xf numFmtId="0" fontId="38" fillId="0" borderId="69" xfId="0" applyFont="1" applyBorder="1" applyAlignment="1">
      <alignment horizontal="center" vertical="center" wrapText="1"/>
    </xf>
    <xf numFmtId="176" fontId="38" fillId="0" borderId="139" xfId="0" applyNumberFormat="1" applyFont="1" applyBorder="1" applyAlignment="1">
      <alignment horizontal="center" vertical="center" wrapText="1"/>
    </xf>
    <xf numFmtId="0" fontId="38" fillId="0" borderId="65" xfId="0" applyFont="1" applyBorder="1" applyAlignment="1">
      <alignment horizontal="center" vertical="center" wrapText="1"/>
    </xf>
    <xf numFmtId="0" fontId="38" fillId="12" borderId="65" xfId="0" applyFont="1" applyFill="1" applyBorder="1" applyAlignment="1">
      <alignment horizontal="center" vertical="center" wrapText="1"/>
    </xf>
    <xf numFmtId="0" fontId="38" fillId="7" borderId="140" xfId="0" applyFont="1" applyFill="1" applyBorder="1" applyAlignment="1">
      <alignment horizontal="center" vertical="center" wrapText="1"/>
    </xf>
    <xf numFmtId="0" fontId="38" fillId="0" borderId="139" xfId="0" applyFont="1" applyBorder="1" applyAlignment="1">
      <alignment horizontal="center" vertical="center" wrapText="1"/>
    </xf>
    <xf numFmtId="0" fontId="38" fillId="0" borderId="65" xfId="0" applyFont="1" applyBorder="1" applyAlignment="1">
      <alignment horizontal="center" vertical="center"/>
    </xf>
    <xf numFmtId="0" fontId="38" fillId="0" borderId="65" xfId="0" applyFont="1" applyBorder="1" applyAlignment="1">
      <alignment vertical="center" wrapText="1"/>
    </xf>
    <xf numFmtId="0" fontId="38" fillId="7" borderId="140" xfId="0" applyFont="1" applyFill="1" applyBorder="1" applyAlignment="1">
      <alignment vertical="center" wrapText="1"/>
    </xf>
    <xf numFmtId="0" fontId="38" fillId="12" borderId="65" xfId="0" applyFont="1" applyFill="1" applyBorder="1" applyAlignment="1">
      <alignment vertical="center" wrapText="1"/>
    </xf>
    <xf numFmtId="176" fontId="38" fillId="0" borderId="139" xfId="0" applyNumberFormat="1" applyFont="1" applyBorder="1" applyAlignment="1">
      <alignment vertical="center" wrapText="1"/>
    </xf>
    <xf numFmtId="0" fontId="38" fillId="7" borderId="65" xfId="0" applyFont="1" applyFill="1" applyBorder="1" applyAlignment="1">
      <alignment horizontal="center" vertical="center" wrapText="1"/>
    </xf>
    <xf numFmtId="0" fontId="38" fillId="0" borderId="115" xfId="0" applyFont="1" applyBorder="1" applyAlignment="1">
      <alignment horizontal="center" vertical="center" wrapText="1"/>
    </xf>
    <xf numFmtId="0" fontId="38" fillId="0" borderId="126" xfId="0" applyFont="1" applyBorder="1" applyAlignment="1">
      <alignment horizontal="center" vertical="center" wrapText="1"/>
    </xf>
    <xf numFmtId="0" fontId="38" fillId="0" borderId="66" xfId="0" applyFont="1" applyBorder="1" applyAlignment="1">
      <alignment horizontal="center" vertical="center" wrapText="1"/>
    </xf>
    <xf numFmtId="0" fontId="27" fillId="13" borderId="98" xfId="2" applyFont="1" applyFill="1" applyBorder="1" applyAlignment="1" applyProtection="1">
      <alignment horizontal="center" vertical="center"/>
      <protection locked="0"/>
    </xf>
    <xf numFmtId="0" fontId="27" fillId="13" borderId="152" xfId="2" applyFont="1" applyFill="1" applyBorder="1" applyAlignment="1" applyProtection="1">
      <alignment horizontal="center" vertical="center"/>
      <protection locked="0"/>
    </xf>
    <xf numFmtId="49" fontId="7" fillId="0" borderId="62" xfId="2" applyNumberFormat="1" applyFont="1" applyBorder="1" applyAlignment="1" applyProtection="1">
      <alignment horizontal="center" vertical="center"/>
      <protection locked="0"/>
    </xf>
    <xf numFmtId="0" fontId="7" fillId="0" borderId="62" xfId="2" applyFont="1" applyBorder="1" applyAlignment="1" applyProtection="1">
      <alignment horizontal="center" vertical="center"/>
      <protection locked="0"/>
    </xf>
    <xf numFmtId="0" fontId="7" fillId="12" borderId="62" xfId="2" applyFont="1" applyFill="1" applyBorder="1" applyAlignment="1" applyProtection="1">
      <alignment horizontal="center" vertical="center"/>
      <protection locked="0"/>
    </xf>
    <xf numFmtId="0" fontId="7" fillId="7" borderId="138" xfId="2" applyFont="1" applyFill="1" applyBorder="1" applyAlignment="1" applyProtection="1">
      <alignment horizontal="center" vertical="center"/>
      <protection locked="0"/>
    </xf>
    <xf numFmtId="0" fontId="7" fillId="0" borderId="137" xfId="2" applyFont="1" applyBorder="1" applyAlignment="1" applyProtection="1">
      <alignment horizontal="center" vertical="center"/>
      <protection locked="0"/>
    </xf>
    <xf numFmtId="0" fontId="7" fillId="0" borderId="137" xfId="2" applyFont="1" applyBorder="1" applyAlignment="1">
      <alignment horizontal="center" vertical="center"/>
    </xf>
    <xf numFmtId="0" fontId="7" fillId="0" borderId="62" xfId="2" applyFont="1" applyBorder="1" applyAlignment="1">
      <alignment horizontal="center" vertical="center"/>
    </xf>
    <xf numFmtId="0" fontId="7" fillId="0" borderId="75" xfId="2" applyFont="1" applyBorder="1" applyAlignment="1" applyProtection="1">
      <alignment horizontal="center" vertical="center"/>
      <protection locked="0"/>
    </xf>
    <xf numFmtId="0" fontId="7" fillId="0" borderId="74" xfId="2" applyFont="1" applyBorder="1" applyAlignment="1" applyProtection="1">
      <alignment horizontal="center" vertical="center"/>
      <protection locked="0"/>
    </xf>
    <xf numFmtId="0" fontId="7" fillId="0" borderId="120" xfId="0" applyFont="1" applyBorder="1" applyAlignment="1">
      <alignment horizontal="center" vertical="center" wrapText="1"/>
    </xf>
    <xf numFmtId="0" fontId="7" fillId="0" borderId="58" xfId="2" applyFont="1" applyBorder="1" applyAlignment="1" applyProtection="1">
      <alignment horizontal="center" vertical="center"/>
      <protection locked="0"/>
    </xf>
    <xf numFmtId="0" fontId="7" fillId="12" borderId="58" xfId="2" applyFont="1" applyFill="1" applyBorder="1" applyAlignment="1" applyProtection="1">
      <alignment horizontal="center" vertical="center"/>
      <protection locked="0"/>
    </xf>
    <xf numFmtId="0" fontId="7" fillId="7" borderId="121" xfId="2" applyFont="1" applyFill="1" applyBorder="1" applyAlignment="1" applyProtection="1">
      <alignment horizontal="center" vertical="center"/>
      <protection locked="0"/>
    </xf>
    <xf numFmtId="0" fontId="7" fillId="0" borderId="120" xfId="2" applyFont="1" applyBorder="1" applyAlignment="1" applyProtection="1">
      <alignment horizontal="center" vertical="center"/>
      <protection locked="0"/>
    </xf>
    <xf numFmtId="0" fontId="7" fillId="0" borderId="78" xfId="2" applyFont="1" applyBorder="1" applyAlignment="1" applyProtection="1">
      <alignment horizontal="center" vertical="center"/>
      <protection locked="0"/>
    </xf>
    <xf numFmtId="0" fontId="7" fillId="0" borderId="79" xfId="2" applyFont="1" applyBorder="1" applyAlignment="1" applyProtection="1">
      <alignment horizontal="center" vertical="center"/>
      <protection locked="0"/>
    </xf>
    <xf numFmtId="0" fontId="7" fillId="7" borderId="58" xfId="2" applyFont="1" applyFill="1" applyBorder="1" applyAlignment="1" applyProtection="1">
      <alignment horizontal="center" vertical="center"/>
      <protection locked="0"/>
    </xf>
    <xf numFmtId="49" fontId="7" fillId="0" borderId="58" xfId="2" applyNumberFormat="1" applyFont="1" applyBorder="1" applyAlignment="1" applyProtection="1">
      <alignment horizontal="center" vertical="center"/>
      <protection locked="0"/>
    </xf>
    <xf numFmtId="0" fontId="7" fillId="0" borderId="58" xfId="2" applyFont="1" applyBorder="1" applyAlignment="1">
      <alignment horizontal="center" vertical="center"/>
    </xf>
    <xf numFmtId="0" fontId="7" fillId="7" borderId="145" xfId="2" applyFont="1" applyFill="1" applyBorder="1" applyAlignment="1" applyProtection="1">
      <alignment horizontal="center" vertical="center"/>
      <protection locked="0"/>
    </xf>
    <xf numFmtId="0" fontId="7" fillId="0" borderId="67" xfId="2" applyFont="1" applyBorder="1" applyAlignment="1" applyProtection="1">
      <alignment horizontal="center" vertical="center"/>
      <protection locked="0"/>
    </xf>
    <xf numFmtId="0" fontId="7" fillId="0" borderId="120" xfId="2" applyFont="1" applyBorder="1" applyAlignment="1">
      <alignment horizontal="center" vertical="center"/>
    </xf>
    <xf numFmtId="0" fontId="7" fillId="7" borderId="121" xfId="2" applyFont="1" applyFill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58" xfId="2" applyFont="1" applyBorder="1" applyAlignment="1" applyProtection="1">
      <alignment horizontal="center" vertical="center" wrapText="1"/>
      <protection locked="0"/>
    </xf>
    <xf numFmtId="0" fontId="7" fillId="7" borderId="121" xfId="2" applyFont="1" applyFill="1" applyBorder="1" applyAlignment="1" applyProtection="1">
      <alignment horizontal="center" vertical="center" wrapText="1"/>
      <protection locked="0"/>
    </xf>
    <xf numFmtId="0" fontId="7" fillId="0" borderId="120" xfId="2" applyFont="1" applyBorder="1" applyAlignment="1" applyProtection="1">
      <alignment horizontal="center" vertical="center" wrapText="1"/>
      <protection locked="0"/>
    </xf>
    <xf numFmtId="0" fontId="7" fillId="0" borderId="69" xfId="2" applyFont="1" applyBorder="1" applyAlignment="1" applyProtection="1">
      <alignment horizontal="center" vertical="center"/>
      <protection locked="0"/>
    </xf>
    <xf numFmtId="0" fontId="7" fillId="12" borderId="79" xfId="2" applyFont="1" applyFill="1" applyBorder="1" applyAlignment="1" applyProtection="1">
      <alignment horizontal="center" vertical="center"/>
      <protection locked="0"/>
    </xf>
    <xf numFmtId="0" fontId="7" fillId="0" borderId="86" xfId="2" applyFont="1" applyBorder="1" applyAlignment="1" applyProtection="1">
      <alignment horizontal="center" vertical="center"/>
      <protection locked="0"/>
    </xf>
    <xf numFmtId="0" fontId="7" fillId="0" borderId="71" xfId="2" applyFont="1" applyBorder="1" applyAlignment="1" applyProtection="1">
      <alignment horizontal="center" vertical="center"/>
      <protection locked="0"/>
    </xf>
    <xf numFmtId="0" fontId="7" fillId="12" borderId="71" xfId="2" applyFont="1" applyFill="1" applyBorder="1" applyAlignment="1" applyProtection="1">
      <alignment horizontal="center" vertical="center"/>
      <protection locked="0"/>
    </xf>
    <xf numFmtId="0" fontId="7" fillId="7" borderId="136" xfId="2" applyFont="1" applyFill="1" applyBorder="1" applyAlignment="1" applyProtection="1">
      <alignment horizontal="center" vertical="center"/>
      <protection locked="0"/>
    </xf>
    <xf numFmtId="0" fontId="7" fillId="0" borderId="135" xfId="2" applyFont="1" applyBorder="1" applyAlignment="1" applyProtection="1">
      <alignment horizontal="center" vertical="center"/>
      <protection locked="0"/>
    </xf>
    <xf numFmtId="0" fontId="7" fillId="7" borderId="71" xfId="2" applyFont="1" applyFill="1" applyBorder="1" applyAlignment="1" applyProtection="1">
      <alignment horizontal="center" vertical="center"/>
      <protection locked="0"/>
    </xf>
    <xf numFmtId="0" fontId="7" fillId="0" borderId="2" xfId="2" applyFont="1" applyBorder="1" applyAlignment="1" applyProtection="1">
      <alignment horizontal="center" vertical="center"/>
      <protection locked="0"/>
    </xf>
    <xf numFmtId="0" fontId="7" fillId="0" borderId="130" xfId="2" applyFont="1" applyBorder="1" applyAlignment="1" applyProtection="1">
      <alignment horizontal="center" vertical="center"/>
      <protection locked="0"/>
    </xf>
    <xf numFmtId="0" fontId="7" fillId="0" borderId="14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6" xfId="2" applyFont="1" applyBorder="1" applyAlignment="1" applyProtection="1">
      <alignment horizontal="center" vertical="center"/>
      <protection locked="0"/>
    </xf>
    <xf numFmtId="0" fontId="7" fillId="0" borderId="17" xfId="2" applyFont="1" applyBorder="1" applyAlignment="1" applyProtection="1">
      <alignment horizontal="center" vertical="center"/>
      <protection locked="0"/>
    </xf>
    <xf numFmtId="0" fontId="7" fillId="0" borderId="94" xfId="2" applyFont="1" applyBorder="1" applyAlignment="1" applyProtection="1">
      <alignment horizontal="center" vertical="center"/>
      <protection locked="0"/>
    </xf>
    <xf numFmtId="0" fontId="7" fillId="0" borderId="135" xfId="0" applyFont="1" applyBorder="1" applyAlignment="1">
      <alignment horizontal="center" vertical="center" wrapText="1"/>
    </xf>
    <xf numFmtId="0" fontId="7" fillId="0" borderId="44" xfId="2" applyFont="1" applyBorder="1" applyAlignment="1" applyProtection="1">
      <alignment horizontal="center" vertical="center"/>
      <protection locked="0"/>
    </xf>
    <xf numFmtId="49" fontId="7" fillId="0" borderId="67" xfId="2" applyNumberFormat="1" applyFont="1" applyBorder="1" applyAlignment="1" applyProtection="1">
      <alignment horizontal="center" vertical="center" wrapText="1"/>
      <protection locked="0"/>
    </xf>
    <xf numFmtId="0" fontId="7" fillId="12" borderId="67" xfId="2" applyFont="1" applyFill="1" applyBorder="1" applyAlignment="1" applyProtection="1">
      <alignment horizontal="center" vertical="center"/>
      <protection locked="0"/>
    </xf>
    <xf numFmtId="0" fontId="7" fillId="7" borderId="147" xfId="2" applyFont="1" applyFill="1" applyBorder="1" applyAlignment="1" applyProtection="1">
      <alignment horizontal="center" vertical="center"/>
      <protection locked="0"/>
    </xf>
    <xf numFmtId="0" fontId="7" fillId="0" borderId="153" xfId="2" applyFont="1" applyBorder="1" applyAlignment="1" applyProtection="1">
      <alignment horizontal="center" vertical="center"/>
      <protection locked="0"/>
    </xf>
    <xf numFmtId="0" fontId="7" fillId="0" borderId="67" xfId="2" applyFont="1" applyBorder="1" applyAlignment="1">
      <alignment horizontal="center" vertical="center"/>
    </xf>
    <xf numFmtId="0" fontId="7" fillId="7" borderId="67" xfId="2" applyFont="1" applyFill="1" applyBorder="1" applyAlignment="1" applyProtection="1">
      <alignment horizontal="center" vertical="center"/>
      <protection locked="0"/>
    </xf>
    <xf numFmtId="0" fontId="7" fillId="7" borderId="147" xfId="2" applyFont="1" applyFill="1" applyBorder="1" applyAlignment="1">
      <alignment horizontal="center" vertical="center"/>
    </xf>
    <xf numFmtId="0" fontId="7" fillId="0" borderId="114" xfId="2" applyFont="1" applyBorder="1" applyAlignment="1" applyProtection="1">
      <alignment horizontal="center" vertical="center"/>
      <protection locked="0"/>
    </xf>
    <xf numFmtId="0" fontId="7" fillId="0" borderId="77" xfId="2" applyFont="1" applyBorder="1" applyAlignment="1" applyProtection="1">
      <alignment horizontal="center" vertical="center"/>
      <protection locked="0"/>
    </xf>
    <xf numFmtId="0" fontId="7" fillId="0" borderId="71" xfId="0" applyFont="1" applyBorder="1" applyAlignment="1">
      <alignment horizontal="center" vertical="center" wrapText="1"/>
    </xf>
    <xf numFmtId="0" fontId="7" fillId="12" borderId="71" xfId="0" applyFont="1" applyFill="1" applyBorder="1" applyAlignment="1">
      <alignment horizontal="center" vertical="center" wrapText="1"/>
    </xf>
    <xf numFmtId="0" fontId="7" fillId="7" borderId="136" xfId="0" applyFont="1" applyFill="1" applyBorder="1" applyAlignment="1">
      <alignment horizontal="center" vertical="center" wrapText="1"/>
    </xf>
    <xf numFmtId="0" fontId="7" fillId="7" borderId="136" xfId="0" applyFont="1" applyFill="1" applyBorder="1" applyAlignment="1">
      <alignment vertical="center" wrapText="1"/>
    </xf>
    <xf numFmtId="0" fontId="7" fillId="0" borderId="135" xfId="0" applyFont="1" applyBorder="1" applyAlignment="1">
      <alignment vertical="center" wrapText="1"/>
    </xf>
    <xf numFmtId="0" fontId="7" fillId="0" borderId="71" xfId="0" applyFont="1" applyBorder="1" applyAlignment="1">
      <alignment vertical="center" wrapText="1"/>
    </xf>
    <xf numFmtId="0" fontId="7" fillId="12" borderId="71" xfId="0" applyFont="1" applyFill="1" applyBorder="1" applyAlignment="1">
      <alignment vertical="center" wrapText="1"/>
    </xf>
    <xf numFmtId="0" fontId="7" fillId="7" borderId="71" xfId="0" applyFont="1" applyFill="1" applyBorder="1" applyAlignment="1">
      <alignment vertical="center" wrapText="1"/>
    </xf>
    <xf numFmtId="0" fontId="7" fillId="0" borderId="131" xfId="0" applyFont="1" applyBorder="1" applyAlignment="1">
      <alignment vertical="center" wrapText="1"/>
    </xf>
    <xf numFmtId="0" fontId="7" fillId="0" borderId="86" xfId="0" applyFont="1" applyBorder="1" applyAlignment="1">
      <alignment vertical="center" wrapText="1"/>
    </xf>
    <xf numFmtId="0" fontId="7" fillId="0" borderId="72" xfId="0" applyFont="1" applyBorder="1" applyAlignment="1">
      <alignment vertical="center" wrapText="1"/>
    </xf>
    <xf numFmtId="0" fontId="7" fillId="0" borderId="117" xfId="2" applyFont="1" applyBorder="1" applyAlignment="1" applyProtection="1">
      <alignment horizontal="center" vertical="center"/>
      <protection locked="0"/>
    </xf>
    <xf numFmtId="0" fontId="7" fillId="0" borderId="118" xfId="2" applyFont="1" applyBorder="1" applyAlignment="1" applyProtection="1">
      <alignment horizontal="center" vertical="center"/>
      <protection locked="0"/>
    </xf>
    <xf numFmtId="0" fontId="7" fillId="12" borderId="118" xfId="2" applyFont="1" applyFill="1" applyBorder="1" applyAlignment="1" applyProtection="1">
      <alignment horizontal="center" vertical="center"/>
      <protection locked="0"/>
    </xf>
    <xf numFmtId="0" fontId="7" fillId="7" borderId="119" xfId="2" applyFont="1" applyFill="1" applyBorder="1" applyAlignment="1" applyProtection="1">
      <alignment horizontal="center" vertical="center"/>
      <protection locked="0"/>
    </xf>
    <xf numFmtId="0" fontId="7" fillId="7" borderId="118" xfId="2" applyFont="1" applyFill="1" applyBorder="1" applyAlignment="1" applyProtection="1">
      <alignment horizontal="center" vertical="center"/>
      <protection locked="0"/>
    </xf>
    <xf numFmtId="0" fontId="7" fillId="0" borderId="133" xfId="2" applyFont="1" applyBorder="1" applyAlignment="1" applyProtection="1">
      <alignment horizontal="center" vertical="center"/>
      <protection locked="0"/>
    </xf>
    <xf numFmtId="0" fontId="7" fillId="0" borderId="128" xfId="2" applyFont="1" applyBorder="1" applyAlignment="1" applyProtection="1">
      <alignment horizontal="center" vertical="center"/>
      <protection locked="0"/>
    </xf>
    <xf numFmtId="0" fontId="7" fillId="0" borderId="119" xfId="2" applyFont="1" applyBorder="1" applyAlignment="1" applyProtection="1">
      <alignment horizontal="center" vertical="center"/>
      <protection locked="0"/>
    </xf>
    <xf numFmtId="0" fontId="7" fillId="0" borderId="121" xfId="2" applyFont="1" applyBorder="1" applyAlignment="1" applyProtection="1">
      <alignment horizontal="center" vertical="center"/>
      <protection locked="0"/>
    </xf>
    <xf numFmtId="0" fontId="8" fillId="0" borderId="58" xfId="2" applyFont="1" applyBorder="1" applyAlignment="1" applyProtection="1">
      <alignment horizontal="center" vertical="center"/>
      <protection locked="0"/>
    </xf>
    <xf numFmtId="0" fontId="7" fillId="0" borderId="121" xfId="2" applyFont="1" applyBorder="1" applyAlignment="1">
      <alignment horizontal="center" vertical="center"/>
    </xf>
    <xf numFmtId="0" fontId="7" fillId="0" borderId="122" xfId="2" applyFont="1" applyBorder="1" applyAlignment="1" applyProtection="1">
      <alignment horizontal="center" vertical="center"/>
      <protection locked="0"/>
    </xf>
    <xf numFmtId="0" fontId="7" fillId="0" borderId="123" xfId="2" applyFont="1" applyBorder="1" applyAlignment="1" applyProtection="1">
      <alignment horizontal="center" vertical="center"/>
      <protection locked="0"/>
    </xf>
    <xf numFmtId="0" fontId="7" fillId="12" borderId="123" xfId="2" applyFont="1" applyFill="1" applyBorder="1" applyAlignment="1" applyProtection="1">
      <alignment horizontal="center" vertical="center"/>
      <protection locked="0"/>
    </xf>
    <xf numFmtId="0" fontId="7" fillId="7" borderId="125" xfId="2" applyFont="1" applyFill="1" applyBorder="1" applyAlignment="1" applyProtection="1">
      <alignment horizontal="center" vertical="center"/>
      <protection locked="0"/>
    </xf>
    <xf numFmtId="0" fontId="7" fillId="0" borderId="123" xfId="2" applyFont="1" applyBorder="1" applyAlignment="1">
      <alignment horizontal="center" vertical="center"/>
    </xf>
    <xf numFmtId="0" fontId="7" fillId="7" borderId="123" xfId="2" applyFont="1" applyFill="1" applyBorder="1" applyAlignment="1" applyProtection="1">
      <alignment horizontal="center" vertical="center"/>
      <protection locked="0"/>
    </xf>
    <xf numFmtId="0" fontId="7" fillId="0" borderId="124" xfId="2" applyFont="1" applyBorder="1" applyAlignment="1" applyProtection="1">
      <alignment horizontal="center" vertical="center"/>
      <protection locked="0"/>
    </xf>
    <xf numFmtId="0" fontId="7" fillId="0" borderId="129" xfId="2" applyFont="1" applyBorder="1" applyAlignment="1" applyProtection="1">
      <alignment horizontal="center" vertical="center"/>
      <protection locked="0"/>
    </xf>
    <xf numFmtId="0" fontId="7" fillId="0" borderId="125" xfId="2" applyFont="1" applyBorder="1" applyAlignment="1" applyProtection="1">
      <alignment horizontal="center" vertical="center"/>
      <protection locked="0"/>
    </xf>
    <xf numFmtId="0" fontId="7" fillId="7" borderId="148" xfId="2" applyFont="1" applyFill="1" applyBorder="1" applyAlignment="1" applyProtection="1">
      <alignment horizontal="center" vertical="center"/>
      <protection locked="0"/>
    </xf>
    <xf numFmtId="0" fontId="8" fillId="0" borderId="62" xfId="2" applyFont="1" applyBorder="1" applyAlignment="1" applyProtection="1">
      <alignment horizontal="center" vertical="center"/>
      <protection locked="0"/>
    </xf>
    <xf numFmtId="0" fontId="26" fillId="0" borderId="162" xfId="2" applyFont="1" applyBorder="1" applyAlignment="1">
      <alignment horizontal="center" vertical="center" wrapText="1"/>
    </xf>
    <xf numFmtId="0" fontId="26" fillId="0" borderId="161" xfId="2" applyFont="1" applyBorder="1" applyAlignment="1">
      <alignment horizontal="center" vertical="center" wrapText="1"/>
    </xf>
    <xf numFmtId="0" fontId="8" fillId="13" borderId="137" xfId="2" applyFont="1" applyFill="1" applyBorder="1" applyAlignment="1" applyProtection="1">
      <alignment horizontal="center" vertical="center"/>
      <protection locked="0"/>
    </xf>
    <xf numFmtId="0" fontId="8" fillId="13" borderId="63" xfId="2" applyFont="1" applyFill="1" applyBorder="1" applyAlignment="1" applyProtection="1">
      <alignment horizontal="center" vertical="center"/>
      <protection locked="0"/>
    </xf>
    <xf numFmtId="0" fontId="7" fillId="15" borderId="137" xfId="0" applyFont="1" applyFill="1" applyBorder="1" applyAlignment="1">
      <alignment horizontal="center" vertical="center" wrapText="1"/>
    </xf>
    <xf numFmtId="0" fontId="7" fillId="15" borderId="120" xfId="2" applyFont="1" applyFill="1" applyBorder="1" applyAlignment="1" applyProtection="1">
      <alignment horizontal="center" vertical="center"/>
      <protection locked="0"/>
    </xf>
    <xf numFmtId="0" fontId="7" fillId="15" borderId="120" xfId="0" applyFont="1" applyFill="1" applyBorder="1" applyAlignment="1">
      <alignment horizontal="center" vertical="center"/>
    </xf>
    <xf numFmtId="0" fontId="31" fillId="0" borderId="79" xfId="2" applyFont="1" applyBorder="1" applyAlignment="1" applyProtection="1">
      <alignment horizontal="center" vertical="center"/>
      <protection locked="0"/>
    </xf>
    <xf numFmtId="0" fontId="33" fillId="0" borderId="112" xfId="2" applyFont="1" applyBorder="1" applyAlignment="1" applyProtection="1">
      <alignment horizontal="center" vertical="center"/>
      <protection locked="0"/>
    </xf>
    <xf numFmtId="0" fontId="31" fillId="0" borderId="2" xfId="2" applyFont="1" applyBorder="1" applyAlignment="1" applyProtection="1">
      <alignment horizontal="center" vertical="center"/>
      <protection locked="0"/>
    </xf>
    <xf numFmtId="0" fontId="7" fillId="14" borderId="135" xfId="0" applyFont="1" applyFill="1" applyBorder="1" applyAlignment="1">
      <alignment horizontal="center" vertical="center" wrapText="1"/>
    </xf>
    <xf numFmtId="0" fontId="7" fillId="14" borderId="71" xfId="2" applyFont="1" applyFill="1" applyBorder="1" applyAlignment="1" applyProtection="1">
      <alignment horizontal="center" vertical="center"/>
      <protection locked="0"/>
    </xf>
    <xf numFmtId="0" fontId="7" fillId="14" borderId="62" xfId="2" applyFont="1" applyFill="1" applyBorder="1" applyAlignment="1" applyProtection="1">
      <alignment horizontal="center" vertical="center"/>
      <protection locked="0"/>
    </xf>
    <xf numFmtId="0" fontId="7" fillId="14" borderId="58" xfId="2" applyFont="1" applyFill="1" applyBorder="1" applyAlignment="1" applyProtection="1">
      <alignment horizontal="center" vertical="center"/>
      <protection locked="0"/>
    </xf>
    <xf numFmtId="0" fontId="7" fillId="14" borderId="121" xfId="2" applyFont="1" applyFill="1" applyBorder="1" applyAlignment="1" applyProtection="1">
      <alignment horizontal="center" vertical="center"/>
      <protection locked="0"/>
    </xf>
    <xf numFmtId="0" fontId="7" fillId="14" borderId="120" xfId="2" applyFont="1" applyFill="1" applyBorder="1" applyAlignment="1" applyProtection="1">
      <alignment horizontal="center" vertical="center"/>
      <protection locked="0"/>
    </xf>
    <xf numFmtId="0" fontId="7" fillId="14" borderId="67" xfId="2" applyFont="1" applyFill="1" applyBorder="1" applyAlignment="1" applyProtection="1">
      <alignment horizontal="center" vertical="center"/>
      <protection locked="0"/>
    </xf>
    <xf numFmtId="0" fontId="7" fillId="14" borderId="147" xfId="2" applyFont="1" applyFill="1" applyBorder="1" applyAlignment="1" applyProtection="1">
      <alignment horizontal="center" vertical="center"/>
      <protection locked="0"/>
    </xf>
    <xf numFmtId="0" fontId="7" fillId="14" borderId="135" xfId="2" applyFont="1" applyFill="1" applyBorder="1" applyAlignment="1" applyProtection="1">
      <alignment horizontal="center" vertical="center"/>
      <protection locked="0"/>
    </xf>
    <xf numFmtId="0" fontId="7" fillId="14" borderId="58" xfId="2" applyFont="1" applyFill="1" applyBorder="1" applyAlignment="1" applyProtection="1">
      <alignment horizontal="center" vertical="center" wrapText="1"/>
      <protection locked="0"/>
    </xf>
    <xf numFmtId="0" fontId="7" fillId="14" borderId="155" xfId="2" applyFont="1" applyFill="1" applyBorder="1" applyAlignment="1" applyProtection="1">
      <alignment horizontal="center" vertical="center"/>
      <protection locked="0"/>
    </xf>
    <xf numFmtId="0" fontId="7" fillId="14" borderId="69" xfId="2" applyFont="1" applyFill="1" applyBorder="1" applyAlignment="1" applyProtection="1">
      <alignment horizontal="center" vertical="center"/>
      <protection locked="0"/>
    </xf>
    <xf numFmtId="0" fontId="7" fillId="14" borderId="122" xfId="2" applyFont="1" applyFill="1" applyBorder="1" applyAlignment="1" applyProtection="1">
      <alignment horizontal="center" vertical="center"/>
      <protection locked="0"/>
    </xf>
    <xf numFmtId="0" fontId="7" fillId="14" borderId="58" xfId="2" applyFont="1" applyFill="1" applyBorder="1" applyAlignment="1">
      <alignment horizontal="center" vertical="center"/>
    </xf>
    <xf numFmtId="0" fontId="7" fillId="14" borderId="123" xfId="2" applyFont="1" applyFill="1" applyBorder="1" applyAlignment="1" applyProtection="1">
      <alignment horizontal="center" vertical="center"/>
      <protection locked="0"/>
    </xf>
    <xf numFmtId="0" fontId="7" fillId="14" borderId="145" xfId="2" applyFont="1" applyFill="1" applyBorder="1" applyAlignment="1" applyProtection="1">
      <alignment horizontal="center" vertical="center"/>
      <protection locked="0"/>
    </xf>
    <xf numFmtId="0" fontId="7" fillId="14" borderId="79" xfId="2" applyFont="1" applyFill="1" applyBorder="1" applyAlignment="1" applyProtection="1">
      <alignment horizontal="center" vertical="center"/>
      <protection locked="0"/>
    </xf>
    <xf numFmtId="0" fontId="7" fillId="14" borderId="121" xfId="2" applyFont="1" applyFill="1" applyBorder="1" applyAlignment="1">
      <alignment horizontal="center" vertical="center"/>
    </xf>
    <xf numFmtId="0" fontId="7" fillId="14" borderId="125" xfId="2" applyFont="1" applyFill="1" applyBorder="1" applyAlignment="1" applyProtection="1">
      <alignment horizontal="center" vertical="center"/>
      <protection locked="0"/>
    </xf>
    <xf numFmtId="0" fontId="7" fillId="14" borderId="78" xfId="2" applyFont="1" applyFill="1" applyBorder="1" applyAlignment="1" applyProtection="1">
      <alignment horizontal="center" vertical="center"/>
      <protection locked="0"/>
    </xf>
    <xf numFmtId="0" fontId="25" fillId="0" borderId="102" xfId="2" applyFont="1" applyBorder="1" applyAlignment="1" applyProtection="1">
      <alignment horizontal="center" vertical="center"/>
      <protection locked="0"/>
    </xf>
    <xf numFmtId="49" fontId="8" fillId="0" borderId="62" xfId="2" applyNumberFormat="1" applyFont="1" applyBorder="1" applyAlignment="1" applyProtection="1">
      <alignment horizontal="center" vertical="center"/>
      <protection locked="0"/>
    </xf>
    <xf numFmtId="0" fontId="8" fillId="0" borderId="98" xfId="2" applyFont="1" applyBorder="1" applyAlignment="1" applyProtection="1">
      <alignment horizontal="center" vertical="center"/>
      <protection locked="0"/>
    </xf>
    <xf numFmtId="0" fontId="8" fillId="0" borderId="74" xfId="2" applyFont="1" applyBorder="1" applyAlignment="1" applyProtection="1">
      <alignment horizontal="center" vertical="center"/>
      <protection locked="0"/>
    </xf>
    <xf numFmtId="0" fontId="7" fillId="14" borderId="120" xfId="2" applyFont="1" applyFill="1" applyBorder="1" applyAlignment="1">
      <alignment horizontal="center" vertical="center"/>
    </xf>
    <xf numFmtId="0" fontId="8" fillId="7" borderId="136" xfId="2" applyFont="1" applyFill="1" applyBorder="1" applyAlignment="1" applyProtection="1">
      <alignment horizontal="center" vertical="center"/>
      <protection locked="0"/>
    </xf>
    <xf numFmtId="0" fontId="8" fillId="0" borderId="71" xfId="2" applyFont="1" applyBorder="1" applyAlignment="1" applyProtection="1">
      <alignment horizontal="center" vertical="center"/>
      <protection locked="0"/>
    </xf>
    <xf numFmtId="0" fontId="8" fillId="0" borderId="6" xfId="2" applyFont="1" applyBorder="1" applyAlignment="1" applyProtection="1">
      <alignment horizontal="center" vertical="center"/>
      <protection locked="0"/>
    </xf>
    <xf numFmtId="0" fontId="7" fillId="0" borderId="141" xfId="0" applyFont="1" applyBorder="1" applyAlignment="1">
      <alignment horizontal="center" vertical="center" wrapText="1"/>
    </xf>
    <xf numFmtId="0" fontId="31" fillId="12" borderId="2" xfId="2" applyFont="1" applyFill="1" applyBorder="1" applyAlignment="1" applyProtection="1">
      <alignment horizontal="center" vertical="center"/>
      <protection locked="0"/>
    </xf>
    <xf numFmtId="0" fontId="7" fillId="0" borderId="78" xfId="2" applyFont="1" applyBorder="1" applyAlignment="1">
      <alignment horizontal="center" vertical="center"/>
    </xf>
    <xf numFmtId="0" fontId="7" fillId="14" borderId="71" xfId="2" applyFont="1" applyFill="1" applyBorder="1" applyAlignment="1">
      <alignment horizontal="center" vertical="center"/>
    </xf>
    <xf numFmtId="0" fontId="7" fillId="12" borderId="114" xfId="2" applyFont="1" applyFill="1" applyBorder="1" applyAlignment="1" applyProtection="1">
      <alignment horizontal="center" vertical="center"/>
      <protection locked="0"/>
    </xf>
    <xf numFmtId="0" fontId="34" fillId="0" borderId="163" xfId="2" applyFont="1" applyBorder="1" applyAlignment="1" applyProtection="1">
      <alignment horizontal="center" vertical="center"/>
      <protection locked="0"/>
    </xf>
    <xf numFmtId="0" fontId="34" fillId="0" borderId="164" xfId="2" applyFont="1" applyBorder="1" applyAlignment="1" applyProtection="1">
      <alignment horizontal="center" vertical="center"/>
      <protection locked="0"/>
    </xf>
    <xf numFmtId="0" fontId="34" fillId="12" borderId="164" xfId="2" applyFont="1" applyFill="1" applyBorder="1" applyAlignment="1">
      <alignment horizontal="center" vertical="center"/>
    </xf>
    <xf numFmtId="0" fontId="34" fillId="7" borderId="165" xfId="2" applyFont="1" applyFill="1" applyBorder="1" applyAlignment="1" applyProtection="1">
      <alignment horizontal="center" vertical="center"/>
      <protection locked="0"/>
    </xf>
    <xf numFmtId="0" fontId="34" fillId="0" borderId="113" xfId="2" applyFont="1" applyBorder="1" applyAlignment="1" applyProtection="1">
      <alignment horizontal="center" vertical="center"/>
      <protection locked="0"/>
    </xf>
    <xf numFmtId="0" fontId="7" fillId="12" borderId="98" xfId="2" applyFont="1" applyFill="1" applyBorder="1" applyAlignment="1" applyProtection="1">
      <alignment horizontal="center" vertical="center"/>
      <protection locked="0"/>
    </xf>
    <xf numFmtId="0" fontId="7" fillId="7" borderId="144" xfId="2" applyFont="1" applyFill="1" applyBorder="1" applyAlignment="1" applyProtection="1">
      <alignment horizontal="center" vertical="center"/>
      <protection locked="0"/>
    </xf>
    <xf numFmtId="0" fontId="34" fillId="12" borderId="163" xfId="2" applyFont="1" applyFill="1" applyBorder="1" applyAlignment="1" applyProtection="1">
      <alignment horizontal="center" vertical="center"/>
      <protection locked="0"/>
    </xf>
    <xf numFmtId="0" fontId="7" fillId="12" borderId="75" xfId="2" applyFont="1" applyFill="1" applyBorder="1" applyAlignment="1" applyProtection="1">
      <alignment horizontal="center" vertical="center"/>
      <protection locked="0"/>
    </xf>
    <xf numFmtId="0" fontId="34" fillId="7" borderId="163" xfId="2" applyFont="1" applyFill="1" applyBorder="1" applyAlignment="1" applyProtection="1">
      <alignment horizontal="center" vertical="center"/>
      <protection locked="0"/>
    </xf>
    <xf numFmtId="0" fontId="34" fillId="0" borderId="165" xfId="2" applyFont="1" applyBorder="1" applyAlignment="1" applyProtection="1">
      <alignment horizontal="center" vertical="center"/>
      <protection locked="0"/>
    </xf>
    <xf numFmtId="0" fontId="27" fillId="0" borderId="105" xfId="2" applyFont="1" applyBorder="1" applyAlignment="1" applyProtection="1">
      <alignment horizontal="center" vertical="center"/>
      <protection locked="0"/>
    </xf>
    <xf numFmtId="0" fontId="8" fillId="0" borderId="69" xfId="2" applyFont="1" applyBorder="1" applyAlignment="1" applyProtection="1">
      <alignment horizontal="center" vertical="center"/>
      <protection locked="0"/>
    </xf>
    <xf numFmtId="0" fontId="8" fillId="0" borderId="67" xfId="2" applyFont="1" applyBorder="1" applyAlignment="1" applyProtection="1">
      <alignment horizontal="center" vertical="center"/>
      <protection locked="0"/>
    </xf>
    <xf numFmtId="0" fontId="8" fillId="0" borderId="127" xfId="2" applyFont="1" applyBorder="1" applyAlignment="1" applyProtection="1">
      <alignment horizontal="center" vertical="center"/>
      <protection locked="0"/>
    </xf>
    <xf numFmtId="0" fontId="8" fillId="0" borderId="123" xfId="2" applyFont="1" applyBorder="1" applyAlignment="1" applyProtection="1">
      <alignment horizontal="center" vertical="center"/>
      <protection locked="0"/>
    </xf>
    <xf numFmtId="0" fontId="31" fillId="0" borderId="58" xfId="2" applyFont="1" applyBorder="1" applyAlignment="1" applyProtection="1">
      <alignment horizontal="center" vertical="center"/>
      <protection locked="0"/>
    </xf>
    <xf numFmtId="0" fontId="31" fillId="0" borderId="6" xfId="2" applyFont="1" applyBorder="1" applyAlignment="1" applyProtection="1">
      <alignment horizontal="center" vertical="center"/>
      <protection locked="0"/>
    </xf>
    <xf numFmtId="0" fontId="27" fillId="0" borderId="143" xfId="2" applyFont="1" applyBorder="1" applyAlignment="1" applyProtection="1">
      <alignment horizontal="center" vertical="center"/>
      <protection locked="0"/>
    </xf>
    <xf numFmtId="0" fontId="26" fillId="0" borderId="1" xfId="2" applyFont="1" applyAlignment="1">
      <alignment horizontal="center" vertical="center" wrapText="1"/>
    </xf>
    <xf numFmtId="0" fontId="26" fillId="0" borderId="166" xfId="2" applyFont="1" applyBorder="1" applyAlignment="1">
      <alignment horizontal="center" vertical="center" wrapText="1"/>
    </xf>
    <xf numFmtId="0" fontId="26" fillId="0" borderId="167" xfId="2" applyFont="1" applyBorder="1" applyAlignment="1">
      <alignment horizontal="center" vertical="center" wrapText="1"/>
    </xf>
    <xf numFmtId="176" fontId="38" fillId="0" borderId="2" xfId="0" applyNumberFormat="1" applyFont="1" applyBorder="1" applyAlignment="1">
      <alignment horizontal="center" vertical="center" wrapText="1"/>
    </xf>
    <xf numFmtId="0" fontId="38" fillId="0" borderId="2" xfId="0" applyFont="1" applyBorder="1" applyAlignment="1">
      <alignment vertical="center" wrapText="1"/>
    </xf>
    <xf numFmtId="0" fontId="38" fillId="0" borderId="2" xfId="0" applyFont="1" applyBorder="1" applyAlignment="1">
      <alignment horizontal="center" vertical="center" wrapText="1"/>
    </xf>
    <xf numFmtId="176" fontId="38" fillId="0" borderId="2" xfId="0" applyNumberFormat="1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49" fontId="7" fillId="0" borderId="2" xfId="2" applyNumberFormat="1" applyFont="1" applyBorder="1" applyAlignment="1" applyProtection="1">
      <alignment horizontal="center" vertical="center"/>
      <protection locked="0"/>
    </xf>
    <xf numFmtId="0" fontId="7" fillId="0" borderId="2" xfId="2" applyFont="1" applyBorder="1" applyAlignment="1">
      <alignment horizontal="center" vertical="center"/>
    </xf>
    <xf numFmtId="0" fontId="7" fillId="0" borderId="2" xfId="2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38" fillId="0" borderId="4" xfId="0" applyFont="1" applyBorder="1" applyAlignment="1">
      <alignment vertical="center" wrapText="1"/>
    </xf>
    <xf numFmtId="0" fontId="38" fillId="0" borderId="4" xfId="0" applyFont="1" applyBorder="1" applyAlignment="1">
      <alignment horizontal="center" vertical="center" wrapText="1"/>
    </xf>
    <xf numFmtId="176" fontId="38" fillId="0" borderId="4" xfId="0" applyNumberFormat="1" applyFont="1" applyBorder="1" applyAlignment="1">
      <alignment horizontal="center" vertical="center" wrapText="1"/>
    </xf>
    <xf numFmtId="176" fontId="38" fillId="0" borderId="4" xfId="0" applyNumberFormat="1" applyFont="1" applyBorder="1" applyAlignment="1">
      <alignment vertical="center" wrapText="1"/>
    </xf>
    <xf numFmtId="0" fontId="38" fillId="0" borderId="9" xfId="0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/>
    </xf>
    <xf numFmtId="0" fontId="38" fillId="0" borderId="9" xfId="0" applyFont="1" applyBorder="1" applyAlignment="1">
      <alignment vertical="center" wrapText="1"/>
    </xf>
    <xf numFmtId="176" fontId="38" fillId="0" borderId="9" xfId="0" applyNumberFormat="1" applyFont="1" applyBorder="1" applyAlignment="1">
      <alignment vertical="center" wrapText="1"/>
    </xf>
    <xf numFmtId="176" fontId="28" fillId="0" borderId="33" xfId="0" applyNumberFormat="1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0" fontId="7" fillId="0" borderId="20" xfId="2" applyFont="1" applyBorder="1" applyAlignment="1" applyProtection="1">
      <alignment horizontal="center" vertical="center"/>
      <protection locked="0"/>
    </xf>
    <xf numFmtId="0" fontId="7" fillId="0" borderId="20" xfId="2" applyFont="1" applyBorder="1" applyAlignment="1">
      <alignment horizontal="center" vertical="center"/>
    </xf>
    <xf numFmtId="0" fontId="7" fillId="0" borderId="4" xfId="2" applyFont="1" applyBorder="1" applyAlignment="1" applyProtection="1">
      <alignment horizontal="center" vertical="center"/>
      <protection locked="0"/>
    </xf>
    <xf numFmtId="0" fontId="7" fillId="0" borderId="9" xfId="2" applyFont="1" applyBorder="1" applyAlignment="1" applyProtection="1">
      <alignment horizontal="center" vertical="center"/>
      <protection locked="0"/>
    </xf>
    <xf numFmtId="0" fontId="20" fillId="0" borderId="19" xfId="0" applyFont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176" fontId="38" fillId="7" borderId="3" xfId="0" applyNumberFormat="1" applyFont="1" applyFill="1" applyBorder="1" applyAlignment="1">
      <alignment horizontal="center" vertical="center" wrapText="1"/>
    </xf>
    <xf numFmtId="176" fontId="38" fillId="7" borderId="6" xfId="0" applyNumberFormat="1" applyFont="1" applyFill="1" applyBorder="1" applyAlignment="1">
      <alignment horizontal="center" vertical="center" wrapText="1"/>
    </xf>
    <xf numFmtId="176" fontId="38" fillId="7" borderId="8" xfId="0" applyNumberFormat="1" applyFont="1" applyFill="1" applyBorder="1" applyAlignment="1">
      <alignment horizontal="center" vertical="center" wrapText="1"/>
    </xf>
    <xf numFmtId="176" fontId="28" fillId="7" borderId="33" xfId="0" applyNumberFormat="1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6" xfId="2" applyFont="1" applyFill="1" applyBorder="1" applyAlignment="1" applyProtection="1">
      <alignment horizontal="center" vertical="center"/>
      <protection locked="0"/>
    </xf>
    <xf numFmtId="0" fontId="7" fillId="7" borderId="6" xfId="0" applyFont="1" applyFill="1" applyBorder="1" applyAlignment="1">
      <alignment horizontal="center" vertical="center"/>
    </xf>
    <xf numFmtId="0" fontId="7" fillId="7" borderId="3" xfId="2" applyFont="1" applyFill="1" applyBorder="1" applyAlignment="1" applyProtection="1">
      <alignment horizontal="center" vertical="center"/>
      <protection locked="0"/>
    </xf>
    <xf numFmtId="0" fontId="7" fillId="7" borderId="8" xfId="2" applyFont="1" applyFill="1" applyBorder="1" applyAlignment="1" applyProtection="1">
      <alignment horizontal="center" vertical="center"/>
      <protection locked="0"/>
    </xf>
    <xf numFmtId="0" fontId="26" fillId="7" borderId="149" xfId="2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38" fillId="7" borderId="4" xfId="0" applyFont="1" applyFill="1" applyBorder="1" applyAlignment="1">
      <alignment horizontal="center" vertical="center" wrapText="1"/>
    </xf>
    <xf numFmtId="0" fontId="38" fillId="7" borderId="2" xfId="0" applyFont="1" applyFill="1" applyBorder="1" applyAlignment="1">
      <alignment horizontal="center" vertical="center" wrapText="1"/>
    </xf>
    <xf numFmtId="0" fontId="38" fillId="7" borderId="9" xfId="0" applyFont="1" applyFill="1" applyBorder="1" applyAlignment="1">
      <alignment horizontal="center" vertical="center" wrapText="1"/>
    </xf>
    <xf numFmtId="0" fontId="28" fillId="7" borderId="33" xfId="0" applyFont="1" applyFill="1" applyBorder="1" applyAlignment="1">
      <alignment horizontal="center" vertical="center" wrapText="1"/>
    </xf>
    <xf numFmtId="0" fontId="7" fillId="7" borderId="4" xfId="2" applyFont="1" applyFill="1" applyBorder="1" applyAlignment="1" applyProtection="1">
      <alignment horizontal="center" vertical="center"/>
      <protection locked="0"/>
    </xf>
    <xf numFmtId="0" fontId="7" fillId="7" borderId="2" xfId="2" applyFont="1" applyFill="1" applyBorder="1" applyAlignment="1">
      <alignment horizontal="center" vertical="center"/>
    </xf>
    <xf numFmtId="0" fontId="7" fillId="7" borderId="9" xfId="2" applyFont="1" applyFill="1" applyBorder="1" applyAlignment="1" applyProtection="1">
      <alignment horizontal="center" vertical="center"/>
      <protection locked="0"/>
    </xf>
    <xf numFmtId="0" fontId="38" fillId="7" borderId="2" xfId="0" applyFont="1" applyFill="1" applyBorder="1" applyAlignment="1">
      <alignment vertical="center" wrapText="1"/>
    </xf>
    <xf numFmtId="0" fontId="38" fillId="7" borderId="9" xfId="0" applyFont="1" applyFill="1" applyBorder="1" applyAlignment="1">
      <alignment vertical="center" wrapText="1"/>
    </xf>
    <xf numFmtId="0" fontId="7" fillId="7" borderId="2" xfId="2" applyFont="1" applyFill="1" applyBorder="1" applyAlignment="1" applyProtection="1">
      <alignment horizontal="center" vertical="center" wrapText="1"/>
      <protection locked="0"/>
    </xf>
    <xf numFmtId="0" fontId="38" fillId="7" borderId="4" xfId="0" applyFont="1" applyFill="1" applyBorder="1" applyAlignment="1">
      <alignment vertical="center" wrapText="1"/>
    </xf>
    <xf numFmtId="0" fontId="20" fillId="12" borderId="4" xfId="0" applyFont="1" applyFill="1" applyBorder="1" applyAlignment="1">
      <alignment horizontal="center" vertical="center"/>
    </xf>
    <xf numFmtId="0" fontId="20" fillId="12" borderId="9" xfId="0" applyFont="1" applyFill="1" applyBorder="1" applyAlignment="1">
      <alignment horizontal="center" vertical="center"/>
    </xf>
    <xf numFmtId="0" fontId="38" fillId="12" borderId="4" xfId="0" applyFont="1" applyFill="1" applyBorder="1" applyAlignment="1">
      <alignment horizontal="center" vertical="center" wrapText="1"/>
    </xf>
    <xf numFmtId="0" fontId="38" fillId="12" borderId="2" xfId="0" applyFont="1" applyFill="1" applyBorder="1" applyAlignment="1">
      <alignment horizontal="center" vertical="center" wrapText="1"/>
    </xf>
    <xf numFmtId="0" fontId="38" fillId="12" borderId="9" xfId="0" applyFont="1" applyFill="1" applyBorder="1" applyAlignment="1">
      <alignment horizontal="center" vertical="center" wrapText="1"/>
    </xf>
    <xf numFmtId="0" fontId="28" fillId="12" borderId="33" xfId="0" applyFont="1" applyFill="1" applyBorder="1" applyAlignment="1">
      <alignment horizontal="center" vertical="center" wrapText="1"/>
    </xf>
    <xf numFmtId="0" fontId="7" fillId="12" borderId="4" xfId="2" applyFont="1" applyFill="1" applyBorder="1" applyAlignment="1" applyProtection="1">
      <alignment horizontal="center" vertical="center"/>
      <protection locked="0"/>
    </xf>
    <xf numFmtId="0" fontId="7" fillId="12" borderId="2" xfId="2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2" borderId="9" xfId="2" applyFont="1" applyFill="1" applyBorder="1" applyAlignment="1" applyProtection="1">
      <alignment horizontal="center" vertical="center"/>
      <protection locked="0"/>
    </xf>
    <xf numFmtId="0" fontId="20" fillId="12" borderId="5" xfId="0" applyFont="1" applyFill="1" applyBorder="1" applyAlignment="1">
      <alignment horizontal="center" vertical="center"/>
    </xf>
    <xf numFmtId="0" fontId="38" fillId="12" borderId="5" xfId="0" applyFont="1" applyFill="1" applyBorder="1" applyAlignment="1">
      <alignment horizontal="center" vertical="center" wrapText="1"/>
    </xf>
    <xf numFmtId="0" fontId="38" fillId="12" borderId="7" xfId="0" applyFont="1" applyFill="1" applyBorder="1" applyAlignment="1">
      <alignment horizontal="center" vertical="center" wrapText="1"/>
    </xf>
    <xf numFmtId="0" fontId="38" fillId="12" borderId="10" xfId="0" applyFont="1" applyFill="1" applyBorder="1" applyAlignment="1">
      <alignment horizontal="center" vertical="center" wrapText="1"/>
    </xf>
    <xf numFmtId="0" fontId="7" fillId="12" borderId="7" xfId="2" applyFont="1" applyFill="1" applyBorder="1" applyAlignment="1" applyProtection="1">
      <alignment horizontal="center" vertical="center"/>
      <protection locked="0"/>
    </xf>
    <xf numFmtId="0" fontId="7" fillId="12" borderId="7" xfId="0" applyFont="1" applyFill="1" applyBorder="1" applyAlignment="1">
      <alignment horizontal="center" vertical="center"/>
    </xf>
    <xf numFmtId="0" fontId="7" fillId="12" borderId="5" xfId="2" applyFont="1" applyFill="1" applyBorder="1" applyAlignment="1" applyProtection="1">
      <alignment horizontal="center" vertical="center"/>
      <protection locked="0"/>
    </xf>
    <xf numFmtId="0" fontId="7" fillId="12" borderId="7" xfId="2" applyFont="1" applyFill="1" applyBorder="1" applyAlignment="1">
      <alignment horizontal="center" vertical="center"/>
    </xf>
    <xf numFmtId="0" fontId="7" fillId="12" borderId="10" xfId="2" applyFont="1" applyFill="1" applyBorder="1" applyAlignment="1" applyProtection="1">
      <alignment horizontal="center" vertical="center"/>
      <protection locked="0"/>
    </xf>
    <xf numFmtId="0" fontId="26" fillId="12" borderId="168" xfId="2" applyFont="1" applyFill="1" applyBorder="1" applyAlignment="1">
      <alignment horizontal="center" vertical="center" wrapText="1"/>
    </xf>
    <xf numFmtId="0" fontId="20" fillId="12" borderId="10" xfId="0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 wrapText="1"/>
    </xf>
    <xf numFmtId="0" fontId="7" fillId="12" borderId="20" xfId="2" applyFont="1" applyFill="1" applyBorder="1" applyAlignment="1" applyProtection="1">
      <alignment horizontal="center" vertical="center"/>
      <protection locked="0"/>
    </xf>
    <xf numFmtId="0" fontId="7" fillId="7" borderId="20" xfId="2" applyFont="1" applyFill="1" applyBorder="1" applyAlignment="1" applyProtection="1">
      <alignment horizontal="center" vertical="center"/>
      <protection locked="0"/>
    </xf>
    <xf numFmtId="0" fontId="7" fillId="12" borderId="28" xfId="2" applyFont="1" applyFill="1" applyBorder="1" applyAlignment="1" applyProtection="1">
      <alignment horizontal="center" vertical="center"/>
      <protection locked="0"/>
    </xf>
    <xf numFmtId="0" fontId="13" fillId="0" borderId="169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5" borderId="33" xfId="0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7" fillId="7" borderId="171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12" borderId="31" xfId="0" applyFont="1" applyFill="1" applyBorder="1" applyAlignment="1">
      <alignment horizontal="center" vertical="center" wrapText="1"/>
    </xf>
    <xf numFmtId="0" fontId="7" fillId="7" borderId="31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vertical="center" wrapText="1"/>
    </xf>
    <xf numFmtId="0" fontId="7" fillId="7" borderId="31" xfId="0" applyFont="1" applyFill="1" applyBorder="1" applyAlignment="1">
      <alignment vertical="center" wrapText="1"/>
    </xf>
    <xf numFmtId="0" fontId="13" fillId="0" borderId="170" xfId="0" applyFont="1" applyBorder="1" applyAlignment="1">
      <alignment horizontal="center" vertical="center"/>
    </xf>
    <xf numFmtId="0" fontId="13" fillId="0" borderId="172" xfId="0" applyFont="1" applyBorder="1" applyAlignment="1">
      <alignment horizontal="center" vertical="center"/>
    </xf>
    <xf numFmtId="0" fontId="13" fillId="0" borderId="173" xfId="0" applyFont="1" applyBorder="1" applyAlignment="1">
      <alignment horizontal="center" vertical="center"/>
    </xf>
    <xf numFmtId="0" fontId="13" fillId="5" borderId="173" xfId="0" applyFont="1" applyFill="1" applyBorder="1" applyAlignment="1">
      <alignment horizontal="center" vertical="center"/>
    </xf>
    <xf numFmtId="0" fontId="13" fillId="0" borderId="174" xfId="0" applyFont="1" applyBorder="1" applyAlignment="1">
      <alignment horizontal="center" vertical="center"/>
    </xf>
    <xf numFmtId="0" fontId="3" fillId="3" borderId="175" xfId="0" applyFont="1" applyFill="1" applyBorder="1" applyAlignment="1">
      <alignment horizontal="center" vertical="center"/>
    </xf>
    <xf numFmtId="0" fontId="6" fillId="3" borderId="173" xfId="0" applyFont="1" applyFill="1" applyBorder="1" applyAlignment="1">
      <alignment horizontal="center" vertical="center"/>
    </xf>
    <xf numFmtId="0" fontId="6" fillId="3" borderId="17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0" borderId="34" xfId="2" applyFont="1" applyBorder="1" applyAlignment="1" applyProtection="1">
      <alignment horizontal="center" vertical="center"/>
      <protection locked="0"/>
    </xf>
    <xf numFmtId="0" fontId="13" fillId="5" borderId="25" xfId="0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0" fontId="13" fillId="0" borderId="176" xfId="0" applyFont="1" applyBorder="1" applyAlignment="1">
      <alignment horizontal="center" vertical="center"/>
    </xf>
    <xf numFmtId="0" fontId="3" fillId="3" borderId="177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176" xfId="0" applyFont="1" applyFill="1" applyBorder="1" applyAlignment="1">
      <alignment horizontal="center" vertical="center"/>
    </xf>
    <xf numFmtId="0" fontId="6" fillId="0" borderId="60" xfId="0" applyFont="1" applyBorder="1" applyAlignment="1">
      <alignment horizontal="center" vertical="center" wrapText="1"/>
    </xf>
    <xf numFmtId="49" fontId="7" fillId="7" borderId="20" xfId="2" applyNumberFormat="1" applyFont="1" applyFill="1" applyBorder="1" applyAlignment="1" applyProtection="1">
      <alignment horizontal="center" vertical="center"/>
      <protection locked="0"/>
    </xf>
    <xf numFmtId="0" fontId="7" fillId="7" borderId="27" xfId="0" applyFont="1" applyFill="1" applyBorder="1" applyAlignment="1">
      <alignment horizontal="center" vertical="center"/>
    </xf>
    <xf numFmtId="0" fontId="6" fillId="0" borderId="178" xfId="0" applyFont="1" applyBorder="1" applyAlignment="1">
      <alignment horizontal="center" vertical="center" wrapText="1"/>
    </xf>
    <xf numFmtId="0" fontId="7" fillId="14" borderId="20" xfId="2" applyFont="1" applyFill="1" applyBorder="1" applyAlignment="1" applyProtection="1">
      <alignment horizontal="center" vertical="center"/>
      <protection locked="0"/>
    </xf>
    <xf numFmtId="0" fontId="8" fillId="14" borderId="20" xfId="2" applyFont="1" applyFill="1" applyBorder="1" applyAlignment="1" applyProtection="1">
      <alignment horizontal="center" vertical="center"/>
      <protection locked="0"/>
    </xf>
    <xf numFmtId="0" fontId="8" fillId="13" borderId="20" xfId="2" applyFont="1" applyFill="1" applyBorder="1" applyAlignment="1" applyProtection="1">
      <alignment horizontal="center" vertical="center"/>
      <protection locked="0"/>
    </xf>
    <xf numFmtId="0" fontId="8" fillId="13" borderId="20" xfId="2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49" fontId="7" fillId="14" borderId="2" xfId="2" applyNumberFormat="1" applyFont="1" applyFill="1" applyBorder="1" applyAlignment="1" applyProtection="1">
      <alignment horizontal="center" vertical="center" wrapText="1"/>
      <protection locked="0"/>
    </xf>
    <xf numFmtId="0" fontId="7" fillId="14" borderId="6" xfId="0" applyFont="1" applyFill="1" applyBorder="1" applyAlignment="1">
      <alignment horizontal="center" vertical="center"/>
    </xf>
    <xf numFmtId="0" fontId="7" fillId="14" borderId="2" xfId="2" applyFont="1" applyFill="1" applyBorder="1" applyAlignment="1">
      <alignment horizontal="center" vertical="center"/>
    </xf>
    <xf numFmtId="0" fontId="7" fillId="14" borderId="2" xfId="2" applyFont="1" applyFill="1" applyBorder="1" applyAlignment="1" applyProtection="1">
      <alignment horizontal="center" vertical="center" wrapText="1"/>
      <protection locked="0"/>
    </xf>
    <xf numFmtId="0" fontId="7" fillId="14" borderId="7" xfId="2" applyFont="1" applyFill="1" applyBorder="1" applyAlignment="1" applyProtection="1">
      <alignment horizontal="center" vertical="center"/>
      <protection locked="0"/>
    </xf>
    <xf numFmtId="0" fontId="7" fillId="14" borderId="27" xfId="0" applyFont="1" applyFill="1" applyBorder="1" applyAlignment="1">
      <alignment horizontal="center" vertical="center" wrapText="1"/>
    </xf>
    <xf numFmtId="0" fontId="7" fillId="14" borderId="9" xfId="2" applyFont="1" applyFill="1" applyBorder="1" applyAlignment="1" applyProtection="1">
      <alignment horizontal="center" vertical="center"/>
      <protection locked="0"/>
    </xf>
    <xf numFmtId="0" fontId="7" fillId="14" borderId="9" xfId="2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 wrapText="1"/>
    </xf>
    <xf numFmtId="0" fontId="7" fillId="0" borderId="12" xfId="2" applyFont="1" applyBorder="1" applyAlignment="1" applyProtection="1">
      <alignment horizontal="center" vertical="center"/>
      <protection locked="0"/>
    </xf>
    <xf numFmtId="0" fontId="7" fillId="12" borderId="12" xfId="2" applyFont="1" applyFill="1" applyBorder="1" applyAlignment="1" applyProtection="1">
      <alignment horizontal="center" vertical="center"/>
      <protection locked="0"/>
    </xf>
    <xf numFmtId="0" fontId="7" fillId="7" borderId="12" xfId="2" applyFont="1" applyFill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7" borderId="12" xfId="2" applyFont="1" applyFill="1" applyBorder="1" applyAlignment="1" applyProtection="1">
      <alignment horizontal="center" vertical="center"/>
      <protection locked="0"/>
    </xf>
    <xf numFmtId="0" fontId="7" fillId="12" borderId="13" xfId="2" applyFont="1" applyFill="1" applyBorder="1" applyAlignment="1" applyProtection="1">
      <alignment horizontal="center" vertical="center"/>
      <protection locked="0"/>
    </xf>
    <xf numFmtId="0" fontId="8" fillId="13" borderId="12" xfId="2" applyFont="1" applyFill="1" applyBorder="1" applyAlignment="1">
      <alignment horizontal="center" vertical="center"/>
    </xf>
    <xf numFmtId="0" fontId="8" fillId="13" borderId="12" xfId="2" applyFont="1" applyFill="1" applyBorder="1" applyAlignment="1" applyProtection="1">
      <alignment horizontal="center" vertical="center"/>
      <protection locked="0"/>
    </xf>
    <xf numFmtId="49" fontId="7" fillId="0" borderId="20" xfId="2" applyNumberFormat="1" applyFont="1" applyBorder="1" applyAlignment="1" applyProtection="1">
      <alignment horizontal="center" vertical="center"/>
      <protection locked="0"/>
    </xf>
    <xf numFmtId="0" fontId="8" fillId="7" borderId="2" xfId="2" applyFont="1" applyFill="1" applyBorder="1" applyAlignment="1" applyProtection="1">
      <alignment horizontal="center" vertical="center"/>
      <protection locked="0"/>
    </xf>
    <xf numFmtId="0" fontId="8" fillId="12" borderId="9" xfId="2" applyFont="1" applyFill="1" applyBorder="1" applyAlignment="1" applyProtection="1">
      <alignment horizontal="center" vertical="center"/>
      <protection locked="0"/>
    </xf>
    <xf numFmtId="0" fontId="8" fillId="12" borderId="2" xfId="2" applyFont="1" applyFill="1" applyBorder="1" applyAlignment="1" applyProtection="1">
      <alignment horizontal="center" vertical="center"/>
      <protection locked="0"/>
    </xf>
    <xf numFmtId="0" fontId="8" fillId="0" borderId="2" xfId="2" applyFont="1" applyBorder="1" applyAlignment="1" applyProtection="1">
      <alignment horizontal="center" vertical="center"/>
      <protection locked="0"/>
    </xf>
    <xf numFmtId="0" fontId="8" fillId="7" borderId="9" xfId="2" applyFont="1" applyFill="1" applyBorder="1" applyAlignment="1" applyProtection="1">
      <alignment horizontal="center" vertical="center"/>
      <protection locked="0"/>
    </xf>
    <xf numFmtId="0" fontId="8" fillId="7" borderId="6" xfId="2" applyFont="1" applyFill="1" applyBorder="1" applyAlignment="1" applyProtection="1">
      <alignment horizontal="center" vertical="center"/>
      <protection locked="0"/>
    </xf>
    <xf numFmtId="0" fontId="8" fillId="12" borderId="7" xfId="2" applyFont="1" applyFill="1" applyBorder="1" applyAlignment="1" applyProtection="1">
      <alignment horizontal="center" vertical="center"/>
      <protection locked="0"/>
    </xf>
    <xf numFmtId="0" fontId="25" fillId="7" borderId="20" xfId="2" applyFont="1" applyFill="1" applyBorder="1" applyAlignment="1" applyProtection="1">
      <alignment horizontal="center" vertical="center"/>
      <protection locked="0"/>
    </xf>
    <xf numFmtId="0" fontId="25" fillId="0" borderId="20" xfId="2" applyFont="1" applyBorder="1" applyAlignment="1" applyProtection="1">
      <alignment horizontal="center" vertical="center"/>
      <protection locked="0"/>
    </xf>
    <xf numFmtId="0" fontId="7" fillId="16" borderId="2" xfId="2" applyFont="1" applyFill="1" applyBorder="1" applyAlignment="1">
      <alignment horizontal="center" vertical="center"/>
    </xf>
    <xf numFmtId="0" fontId="7" fillId="16" borderId="2" xfId="2" applyFont="1" applyFill="1" applyBorder="1" applyAlignment="1" applyProtection="1">
      <alignment horizontal="center" vertical="center"/>
      <protection locked="0"/>
    </xf>
    <xf numFmtId="0" fontId="7" fillId="16" borderId="9" xfId="2" applyFont="1" applyFill="1" applyBorder="1" applyAlignment="1" applyProtection="1">
      <alignment horizontal="center" vertical="center"/>
      <protection locked="0"/>
    </xf>
    <xf numFmtId="0" fontId="34" fillId="16" borderId="9" xfId="2" applyFont="1" applyFill="1" applyBorder="1" applyAlignment="1" applyProtection="1">
      <alignment horizontal="center" vertical="center"/>
      <protection locked="0"/>
    </xf>
    <xf numFmtId="0" fontId="34" fillId="16" borderId="2" xfId="2" applyFont="1" applyFill="1" applyBorder="1" applyAlignment="1" applyProtection="1">
      <alignment horizontal="center" vertical="center"/>
      <protection locked="0"/>
    </xf>
    <xf numFmtId="0" fontId="34" fillId="12" borderId="2" xfId="2" applyFont="1" applyFill="1" applyBorder="1" applyAlignment="1" applyProtection="1">
      <alignment horizontal="center" vertical="center"/>
      <protection locked="0"/>
    </xf>
    <xf numFmtId="0" fontId="34" fillId="0" borderId="4" xfId="2" applyFont="1" applyBorder="1" applyAlignment="1" applyProtection="1">
      <alignment horizontal="center" vertical="center"/>
      <protection locked="0"/>
    </xf>
    <xf numFmtId="0" fontId="7" fillId="16" borderId="20" xfId="2" applyFont="1" applyFill="1" applyBorder="1" applyAlignment="1" applyProtection="1">
      <alignment horizontal="center" vertical="center"/>
      <protection locked="0"/>
    </xf>
    <xf numFmtId="0" fontId="8" fillId="0" borderId="12" xfId="2" applyFont="1" applyBorder="1" applyAlignment="1" applyProtection="1">
      <alignment horizontal="center" vertical="center"/>
      <protection locked="0"/>
    </xf>
    <xf numFmtId="0" fontId="8" fillId="0" borderId="20" xfId="2" applyFont="1" applyBorder="1" applyAlignment="1" applyProtection="1">
      <alignment horizontal="center" vertical="center"/>
      <protection locked="0"/>
    </xf>
    <xf numFmtId="0" fontId="8" fillId="16" borderId="2" xfId="2" applyFont="1" applyFill="1" applyBorder="1" applyAlignment="1">
      <alignment horizontal="center" vertical="center"/>
    </xf>
    <xf numFmtId="0" fontId="6" fillId="0" borderId="116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16" borderId="20" xfId="2" applyFont="1" applyFill="1" applyBorder="1" applyAlignment="1" applyProtection="1">
      <alignment horizontal="center" vertical="center"/>
      <protection locked="0"/>
    </xf>
    <xf numFmtId="0" fontId="34" fillId="0" borderId="20" xfId="2" applyFont="1" applyBorder="1" applyAlignment="1" applyProtection="1">
      <alignment horizontal="center" vertical="center"/>
      <protection locked="0"/>
    </xf>
    <xf numFmtId="0" fontId="31" fillId="7" borderId="20" xfId="2" applyFont="1" applyFill="1" applyBorder="1" applyAlignment="1" applyProtection="1">
      <alignment horizontal="center" vertical="center"/>
      <protection locked="0"/>
    </xf>
    <xf numFmtId="0" fontId="38" fillId="15" borderId="74" xfId="0" applyFont="1" applyFill="1" applyBorder="1" applyAlignment="1">
      <alignment horizontal="center" vertical="center" wrapText="1"/>
    </xf>
    <xf numFmtId="0" fontId="38" fillId="15" borderId="75" xfId="0" applyFont="1" applyFill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29" fillId="2" borderId="30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10" fillId="3" borderId="3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vertical="center"/>
    </xf>
    <xf numFmtId="0" fontId="10" fillId="3" borderId="5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3" fillId="2" borderId="26" xfId="0" applyFont="1" applyFill="1" applyBorder="1" applyAlignment="1">
      <alignment horizontal="center" vertical="center" wrapText="1" shrinkToFit="1"/>
    </xf>
    <xf numFmtId="0" fontId="3" fillId="2" borderId="36" xfId="0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 wrapText="1"/>
    </xf>
    <xf numFmtId="0" fontId="3" fillId="4" borderId="39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0" fontId="38" fillId="0" borderId="157" xfId="0" applyFont="1" applyBorder="1" applyAlignment="1">
      <alignment horizontal="center" vertical="center" wrapText="1"/>
    </xf>
    <xf numFmtId="0" fontId="38" fillId="0" borderId="67" xfId="0" applyFont="1" applyBorder="1" applyAlignment="1">
      <alignment horizontal="center" vertical="center" wrapText="1"/>
    </xf>
    <xf numFmtId="0" fontId="38" fillId="0" borderId="158" xfId="0" applyFont="1" applyBorder="1" applyAlignment="1">
      <alignment horizontal="center" vertical="center" wrapText="1"/>
    </xf>
    <xf numFmtId="0" fontId="38" fillId="0" borderId="114" xfId="0" applyFont="1" applyBorder="1" applyAlignment="1">
      <alignment horizontal="center" vertical="center" wrapText="1"/>
    </xf>
    <xf numFmtId="0" fontId="38" fillId="12" borderId="157" xfId="0" applyFont="1" applyFill="1" applyBorder="1" applyAlignment="1">
      <alignment horizontal="center" vertical="center" wrapText="1"/>
    </xf>
    <xf numFmtId="0" fontId="38" fillId="12" borderId="67" xfId="0" applyFont="1" applyFill="1" applyBorder="1" applyAlignment="1">
      <alignment horizontal="center" vertical="center" wrapText="1"/>
    </xf>
    <xf numFmtId="0" fontId="38" fillId="0" borderId="159" xfId="0" applyFont="1" applyBorder="1" applyAlignment="1">
      <alignment horizontal="center" vertical="center" wrapText="1"/>
    </xf>
    <xf numFmtId="0" fontId="38" fillId="0" borderId="153" xfId="0" applyFont="1" applyBorder="1" applyAlignment="1">
      <alignment horizontal="center" vertical="center" wrapText="1"/>
    </xf>
    <xf numFmtId="0" fontId="38" fillId="7" borderId="136" xfId="0" applyFont="1" applyFill="1" applyBorder="1" applyAlignment="1">
      <alignment horizontal="center" vertical="center" wrapText="1"/>
    </xf>
    <xf numFmtId="0" fontId="38" fillId="7" borderId="160" xfId="0" applyFont="1" applyFill="1" applyBorder="1" applyAlignment="1">
      <alignment horizontal="center" vertical="center" wrapText="1"/>
    </xf>
  </cellXfs>
  <cellStyles count="3">
    <cellStyle name="표준" xfId="0" builtinId="0"/>
    <cellStyle name="표준 2" xfId="2" xr:uid="{00000000-0005-0000-0000-000001000000}"/>
    <cellStyle name="표준 3" xfId="1" xr:uid="{00000000-0005-0000-0000-000002000000}"/>
  </cellStyles>
  <dxfs count="3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colors>
    <mruColors>
      <color rgb="FFFF99FF"/>
      <color rgb="FF0000FF"/>
      <color rgb="FF00FFFF"/>
      <color rgb="FF86DC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F667-F1E9-432A-B2D2-7B69FBAC2C32}">
  <sheetPr>
    <pageSetUpPr fitToPage="1"/>
  </sheetPr>
  <dimension ref="A1:CQ79"/>
  <sheetViews>
    <sheetView showGridLines="0" view="pageLayout" zoomScale="85" zoomScaleNormal="100" zoomScalePageLayoutView="85" workbookViewId="0">
      <selection activeCell="AD9" sqref="AD9"/>
    </sheetView>
  </sheetViews>
  <sheetFormatPr defaultColWidth="1.125" defaultRowHeight="15" customHeight="1"/>
  <cols>
    <col min="1" max="1" width="10.375" customWidth="1"/>
    <col min="2" max="2" width="7" customWidth="1"/>
    <col min="3" max="20" width="4.5" customWidth="1"/>
    <col min="21" max="21" width="4.625" customWidth="1"/>
    <col min="22" max="32" width="4.5" customWidth="1"/>
    <col min="33" max="36" width="3.625" customWidth="1"/>
    <col min="37" max="37" width="4.125" customWidth="1"/>
    <col min="38" max="40" width="3.625" customWidth="1"/>
    <col min="41" max="41" width="4.25" customWidth="1"/>
    <col min="42" max="42" width="6.625" bestFit="1" customWidth="1"/>
    <col min="43" max="43" width="5.75" customWidth="1"/>
    <col min="44" max="44" width="4.25" customWidth="1"/>
    <col min="45" max="45" width="5.625" customWidth="1"/>
    <col min="46" max="53" width="9"/>
    <col min="54" max="54" width="27.75" bestFit="1" customWidth="1"/>
    <col min="55" max="55" width="26.5" bestFit="1" customWidth="1"/>
  </cols>
  <sheetData>
    <row r="1" spans="1:95" ht="33" customHeight="1">
      <c r="A1" s="709" t="s">
        <v>0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R1" s="710"/>
      <c r="S1" s="710"/>
      <c r="T1" s="710"/>
      <c r="U1" s="710"/>
      <c r="V1" s="710"/>
      <c r="W1" s="710"/>
      <c r="X1" s="710"/>
      <c r="Y1" s="710"/>
      <c r="Z1" s="710"/>
      <c r="AA1" s="710"/>
      <c r="AB1" s="710"/>
      <c r="AC1" s="710"/>
      <c r="AD1" s="710"/>
      <c r="AE1" s="710"/>
      <c r="AF1" s="710"/>
      <c r="AG1" s="709"/>
      <c r="AH1" s="709"/>
      <c r="AI1" s="709"/>
      <c r="AJ1" s="709"/>
      <c r="AK1" s="709"/>
      <c r="AL1" s="709"/>
      <c r="AM1" s="709"/>
      <c r="AN1" s="709"/>
      <c r="AO1" s="709"/>
      <c r="AP1" s="709"/>
      <c r="AQ1" s="709"/>
      <c r="AR1" s="709"/>
      <c r="AS1" s="709"/>
    </row>
    <row r="2" spans="1:95" ht="21.75" customHeight="1">
      <c r="A2" s="711" t="s">
        <v>1</v>
      </c>
      <c r="B2" s="74" t="s">
        <v>2</v>
      </c>
      <c r="C2" s="119">
        <v>1</v>
      </c>
      <c r="D2" s="143">
        <v>2</v>
      </c>
      <c r="E2" s="104">
        <v>3</v>
      </c>
      <c r="F2" s="104">
        <v>4</v>
      </c>
      <c r="G2" s="104">
        <v>5</v>
      </c>
      <c r="H2" s="104">
        <v>6</v>
      </c>
      <c r="I2" s="104">
        <v>7</v>
      </c>
      <c r="J2" s="126">
        <v>8</v>
      </c>
      <c r="K2" s="143">
        <v>9</v>
      </c>
      <c r="L2" s="104">
        <v>10</v>
      </c>
      <c r="M2" s="104">
        <v>11</v>
      </c>
      <c r="N2" s="104">
        <v>12</v>
      </c>
      <c r="O2" s="104">
        <v>13</v>
      </c>
      <c r="P2" s="104">
        <v>14</v>
      </c>
      <c r="Q2" s="126">
        <v>15</v>
      </c>
      <c r="R2" s="143">
        <v>16</v>
      </c>
      <c r="S2" s="104">
        <v>17</v>
      </c>
      <c r="T2" s="104">
        <v>18</v>
      </c>
      <c r="U2" s="104">
        <v>19</v>
      </c>
      <c r="V2" s="104">
        <v>20</v>
      </c>
      <c r="W2" s="104">
        <v>21</v>
      </c>
      <c r="X2" s="126">
        <v>22</v>
      </c>
      <c r="Y2" s="143">
        <v>23</v>
      </c>
      <c r="Z2" s="104">
        <v>24</v>
      </c>
      <c r="AA2" s="104">
        <v>25</v>
      </c>
      <c r="AB2" s="104">
        <v>26</v>
      </c>
      <c r="AC2" s="104">
        <v>27</v>
      </c>
      <c r="AD2" s="104">
        <v>28</v>
      </c>
      <c r="AE2" s="126">
        <v>29</v>
      </c>
      <c r="AF2" s="163">
        <v>30</v>
      </c>
      <c r="AG2" s="713" t="s">
        <v>3</v>
      </c>
      <c r="AH2" s="714"/>
      <c r="AI2" s="714"/>
      <c r="AJ2" s="714"/>
      <c r="AK2" s="714"/>
      <c r="AL2" s="714"/>
      <c r="AM2" s="714"/>
      <c r="AN2" s="715"/>
      <c r="AO2" s="716" t="s">
        <v>4</v>
      </c>
      <c r="AP2" s="718" t="s">
        <v>5</v>
      </c>
      <c r="AQ2" s="718" t="s">
        <v>6</v>
      </c>
      <c r="AR2" s="718" t="s">
        <v>7</v>
      </c>
      <c r="AS2" s="720" t="s">
        <v>8</v>
      </c>
    </row>
    <row r="3" spans="1:95" ht="22.5" customHeight="1">
      <c r="A3" s="712"/>
      <c r="B3" s="75" t="s">
        <v>9</v>
      </c>
      <c r="C3" s="120" t="s">
        <v>10</v>
      </c>
      <c r="D3" s="144" t="s">
        <v>11</v>
      </c>
      <c r="E3" s="113" t="s">
        <v>12</v>
      </c>
      <c r="F3" s="113" t="s">
        <v>13</v>
      </c>
      <c r="G3" s="113" t="s">
        <v>14</v>
      </c>
      <c r="H3" s="113" t="s">
        <v>15</v>
      </c>
      <c r="I3" s="113" t="s">
        <v>16</v>
      </c>
      <c r="J3" s="127" t="s">
        <v>10</v>
      </c>
      <c r="K3" s="144" t="s">
        <v>11</v>
      </c>
      <c r="L3" s="113" t="s">
        <v>12</v>
      </c>
      <c r="M3" s="113" t="s">
        <v>13</v>
      </c>
      <c r="N3" s="113" t="s">
        <v>14</v>
      </c>
      <c r="O3" s="113" t="s">
        <v>15</v>
      </c>
      <c r="P3" s="113" t="s">
        <v>16</v>
      </c>
      <c r="Q3" s="127" t="s">
        <v>10</v>
      </c>
      <c r="R3" s="144" t="s">
        <v>11</v>
      </c>
      <c r="S3" s="113" t="s">
        <v>12</v>
      </c>
      <c r="T3" s="113" t="s">
        <v>13</v>
      </c>
      <c r="U3" s="113" t="s">
        <v>14</v>
      </c>
      <c r="V3" s="113" t="s">
        <v>15</v>
      </c>
      <c r="W3" s="113" t="s">
        <v>16</v>
      </c>
      <c r="X3" s="127" t="s">
        <v>10</v>
      </c>
      <c r="Y3" s="144" t="s">
        <v>11</v>
      </c>
      <c r="Z3" s="113" t="s">
        <v>12</v>
      </c>
      <c r="AA3" s="113" t="s">
        <v>13</v>
      </c>
      <c r="AB3" s="113" t="s">
        <v>14</v>
      </c>
      <c r="AC3" s="113" t="s">
        <v>15</v>
      </c>
      <c r="AD3" s="113" t="s">
        <v>16</v>
      </c>
      <c r="AE3" s="127" t="s">
        <v>10</v>
      </c>
      <c r="AF3" s="164" t="s">
        <v>11</v>
      </c>
      <c r="AG3" s="3" t="s">
        <v>17</v>
      </c>
      <c r="AH3" s="73" t="s">
        <v>18</v>
      </c>
      <c r="AI3" s="73" t="s">
        <v>19</v>
      </c>
      <c r="AJ3" s="73" t="s">
        <v>20</v>
      </c>
      <c r="AK3" s="4" t="s">
        <v>21</v>
      </c>
      <c r="AL3" s="4" t="s">
        <v>22</v>
      </c>
      <c r="AM3" s="4" t="s">
        <v>23</v>
      </c>
      <c r="AN3" s="5" t="s">
        <v>24</v>
      </c>
      <c r="AO3" s="717"/>
      <c r="AP3" s="719"/>
      <c r="AQ3" s="719"/>
      <c r="AR3" s="719"/>
      <c r="AS3" s="721"/>
    </row>
    <row r="4" spans="1:95" ht="28.5" customHeight="1">
      <c r="A4" s="738" t="s">
        <v>25</v>
      </c>
      <c r="B4" s="741" t="s">
        <v>26</v>
      </c>
      <c r="C4" s="121"/>
      <c r="D4" s="145"/>
      <c r="E4" s="106"/>
      <c r="F4" s="702" t="s">
        <v>27</v>
      </c>
      <c r="G4" s="703"/>
      <c r="H4" s="107"/>
      <c r="I4" s="206" t="s">
        <v>28</v>
      </c>
      <c r="J4" s="128"/>
      <c r="K4" s="153"/>
      <c r="L4" s="106"/>
      <c r="M4" s="106"/>
      <c r="N4" s="106"/>
      <c r="O4" s="109"/>
      <c r="P4" s="106"/>
      <c r="Q4" s="135"/>
      <c r="R4" s="158"/>
      <c r="S4" s="106"/>
      <c r="T4" s="206" t="s">
        <v>29</v>
      </c>
      <c r="U4" s="106"/>
      <c r="V4" s="106"/>
      <c r="W4" s="106"/>
      <c r="X4" s="138"/>
      <c r="Y4" s="161"/>
      <c r="Z4" s="106" t="s">
        <v>30</v>
      </c>
      <c r="AA4" s="106"/>
      <c r="AB4" s="108"/>
      <c r="AC4" s="109"/>
      <c r="AD4" s="109"/>
      <c r="AE4" s="141"/>
      <c r="AF4" s="165"/>
      <c r="AG4" s="704" t="s">
        <v>31</v>
      </c>
      <c r="AH4" s="707" t="s">
        <v>31</v>
      </c>
      <c r="AI4" s="707" t="s">
        <v>31</v>
      </c>
      <c r="AJ4" s="707" t="s">
        <v>31</v>
      </c>
      <c r="AK4" s="704" t="s">
        <v>31</v>
      </c>
      <c r="AL4" s="704" t="s">
        <v>31</v>
      </c>
      <c r="AM4" s="704" t="s">
        <v>31</v>
      </c>
      <c r="AN4" s="704" t="s">
        <v>31</v>
      </c>
      <c r="AO4" s="735">
        <v>160</v>
      </c>
      <c r="AP4" s="724"/>
      <c r="AQ4" s="727" t="s">
        <v>32</v>
      </c>
      <c r="AR4" s="727"/>
      <c r="AS4" s="729"/>
    </row>
    <row r="5" spans="1:95" ht="28.5" customHeight="1">
      <c r="A5" s="739"/>
      <c r="B5" s="742"/>
      <c r="C5" s="122"/>
      <c r="D5" s="146"/>
      <c r="E5" s="97"/>
      <c r="F5" s="97"/>
      <c r="G5" s="105"/>
      <c r="H5" s="105"/>
      <c r="I5" s="105"/>
      <c r="J5" s="129"/>
      <c r="K5" s="154"/>
      <c r="L5" s="97"/>
      <c r="M5" s="97"/>
      <c r="N5" s="98"/>
      <c r="O5" s="105"/>
      <c r="P5" s="98"/>
      <c r="Q5" s="136"/>
      <c r="R5" s="159"/>
      <c r="S5" s="97"/>
      <c r="T5" s="99"/>
      <c r="U5" s="97"/>
      <c r="V5" s="97"/>
      <c r="W5" s="97"/>
      <c r="X5" s="139"/>
      <c r="Y5" s="162"/>
      <c r="Z5" s="97"/>
      <c r="AA5" s="97"/>
      <c r="AB5" s="98"/>
      <c r="AC5" s="105"/>
      <c r="AD5" s="105"/>
      <c r="AE5" s="142"/>
      <c r="AF5" s="166"/>
      <c r="AG5" s="705"/>
      <c r="AH5" s="708"/>
      <c r="AI5" s="708"/>
      <c r="AJ5" s="708"/>
      <c r="AK5" s="705"/>
      <c r="AL5" s="705"/>
      <c r="AM5" s="705"/>
      <c r="AN5" s="705"/>
      <c r="AO5" s="736"/>
      <c r="AP5" s="725"/>
      <c r="AQ5" s="728"/>
      <c r="AR5" s="728"/>
      <c r="AS5" s="730"/>
    </row>
    <row r="6" spans="1:95" ht="26.25" customHeight="1">
      <c r="A6" s="740"/>
      <c r="B6" s="743"/>
      <c r="C6" s="123"/>
      <c r="D6" s="147"/>
      <c r="E6" s="110"/>
      <c r="F6" s="110"/>
      <c r="G6" s="110"/>
      <c r="H6" s="110"/>
      <c r="I6" s="110"/>
      <c r="J6" s="130"/>
      <c r="K6" s="155"/>
      <c r="L6" s="110"/>
      <c r="M6" s="110"/>
      <c r="N6" s="111"/>
      <c r="O6" s="110"/>
      <c r="P6" s="111"/>
      <c r="Q6" s="130"/>
      <c r="R6" s="147"/>
      <c r="S6" s="110"/>
      <c r="T6" s="112"/>
      <c r="U6" s="110"/>
      <c r="V6" s="111"/>
      <c r="W6" s="110"/>
      <c r="X6" s="140"/>
      <c r="Y6" s="147"/>
      <c r="Z6" s="110"/>
      <c r="AA6" s="110"/>
      <c r="AB6" s="110"/>
      <c r="AC6" s="111"/>
      <c r="AD6" s="110"/>
      <c r="AE6" s="130"/>
      <c r="AF6" s="167"/>
      <c r="AG6" s="706"/>
      <c r="AH6" s="706"/>
      <c r="AI6" s="706"/>
      <c r="AJ6" s="706"/>
      <c r="AK6" s="706"/>
      <c r="AL6" s="706"/>
      <c r="AM6" s="706"/>
      <c r="AN6" s="706"/>
      <c r="AO6" s="737"/>
      <c r="AP6" s="726"/>
      <c r="AQ6" s="726"/>
      <c r="AR6" s="726"/>
      <c r="AS6" s="731"/>
    </row>
    <row r="7" spans="1:95" ht="26.25" hidden="1" customHeight="1">
      <c r="A7" s="94"/>
      <c r="B7" s="95" t="s">
        <v>33</v>
      </c>
      <c r="C7" s="124"/>
      <c r="D7" s="148"/>
      <c r="E7" s="115"/>
      <c r="F7" s="115"/>
      <c r="G7" s="115"/>
      <c r="H7" s="115"/>
      <c r="I7" s="115"/>
      <c r="J7" s="131"/>
      <c r="K7" s="156"/>
      <c r="L7" s="115"/>
      <c r="M7" s="115"/>
      <c r="N7" s="115"/>
      <c r="O7" s="114"/>
      <c r="P7" s="115"/>
      <c r="Q7" s="131"/>
      <c r="R7" s="160"/>
      <c r="S7" s="115"/>
      <c r="T7" s="115"/>
      <c r="U7" s="115"/>
      <c r="V7" s="114"/>
      <c r="W7" s="115"/>
      <c r="X7" s="124"/>
      <c r="Y7" s="160"/>
      <c r="Z7" s="115"/>
      <c r="AA7" s="115"/>
      <c r="AB7" s="115"/>
      <c r="AC7" s="115"/>
      <c r="AD7" s="115"/>
      <c r="AE7" s="131"/>
      <c r="AF7" s="160"/>
      <c r="AG7" s="6">
        <f t="shared" ref="AG7:AG26" si="0">COUNTIF(C7:AF7,"A")+COUNTIF(C7:AF7,"A1")+COUNTIF(C7:AF7,"A2")+COUNTIF(C7:AF7,"A3")+COUNTIF(C7:AF7,"A4")</f>
        <v>0</v>
      </c>
      <c r="AH7" s="7">
        <f t="shared" ref="AH7:AH26" si="1">COUNTIF(C7:AF7,"B")+COUNTIF(C7:AF7,"B1")+COUNTIF(C7:AF7,"B2")+COUNTIF(C7:AF7,"B3")+COUNTIF(C7:AF7,"B4")</f>
        <v>0</v>
      </c>
      <c r="AI7" s="47">
        <f t="shared" ref="AI7:AI26" si="2">COUNTIF(C7:AF7,"C")+COUNTIF(C7:AF7,"C1")+COUNTIF(C7:AF7,"C2")+COUNTIF(C7:AF7,"C3")+COUNTIF(C7:AF7,"C4")</f>
        <v>0</v>
      </c>
      <c r="AJ7" s="7">
        <f t="shared" ref="AJ7:AJ26" si="3">COUNTIF(C7:AF7,"N")+COUNTIF(C7:AF7,"N1")</f>
        <v>0</v>
      </c>
      <c r="AK7" s="47">
        <f t="shared" ref="AK7:AK26" si="4">COUNTIF(C7:AF7,"대휴")</f>
        <v>0</v>
      </c>
      <c r="AL7" s="7">
        <f t="shared" ref="AL7:AL26" si="5">COUNTIF(C7:AF7,"주휴")</f>
        <v>0</v>
      </c>
      <c r="AM7" s="7">
        <f t="shared" ref="AM7:AM16" si="6">COUNTIF(C7:AF7,"")</f>
        <v>30</v>
      </c>
      <c r="AN7" s="8">
        <f t="shared" ref="AN7:AN26" si="7">COUNTIF(C7:AF7,"휴가")</f>
        <v>0</v>
      </c>
      <c r="AO7" s="9">
        <f>(AG7*8)+(AH7*8)+(AI7*8)+(AJ7*8)+(AN7*8)+6</f>
        <v>6</v>
      </c>
      <c r="AP7" s="10">
        <f>SUM(AO7-$AO$4)</f>
        <v>-154</v>
      </c>
      <c r="AQ7" s="10">
        <f t="shared" ref="AQ7:AQ9" si="8">(AJ7*3)</f>
        <v>0</v>
      </c>
      <c r="AR7" s="10"/>
      <c r="AS7" s="11">
        <f t="shared" ref="AS7:AS9" si="9">SUM(AP7:AR7)</f>
        <v>-154</v>
      </c>
    </row>
    <row r="8" spans="1:95" ht="26.25" customHeight="1">
      <c r="A8" s="732" t="s">
        <v>34</v>
      </c>
      <c r="B8" s="76" t="s">
        <v>35</v>
      </c>
      <c r="C8" s="279" t="s">
        <v>22</v>
      </c>
      <c r="D8" s="308" t="s">
        <v>36</v>
      </c>
      <c r="E8" s="281" t="s">
        <v>19</v>
      </c>
      <c r="F8" s="282" t="s">
        <v>18</v>
      </c>
      <c r="G8" s="312" t="s">
        <v>37</v>
      </c>
      <c r="H8" s="281" t="s">
        <v>19</v>
      </c>
      <c r="I8" s="282" t="s">
        <v>17</v>
      </c>
      <c r="J8" s="283" t="s">
        <v>22</v>
      </c>
      <c r="K8" s="284" t="s">
        <v>20</v>
      </c>
      <c r="L8" s="282" t="s">
        <v>22</v>
      </c>
      <c r="M8" s="281" t="s">
        <v>19</v>
      </c>
      <c r="N8" s="281" t="s">
        <v>19</v>
      </c>
      <c r="O8" s="259" t="s">
        <v>36</v>
      </c>
      <c r="P8" s="285" t="s">
        <v>19</v>
      </c>
      <c r="Q8" s="286" t="s">
        <v>24</v>
      </c>
      <c r="R8" s="287" t="s">
        <v>24</v>
      </c>
      <c r="S8" s="288" t="s">
        <v>24</v>
      </c>
      <c r="T8" s="289" t="s">
        <v>19</v>
      </c>
      <c r="U8" s="281" t="s">
        <v>19</v>
      </c>
      <c r="V8" s="281" t="s">
        <v>18</v>
      </c>
      <c r="W8" s="290" t="s">
        <v>20</v>
      </c>
      <c r="X8" s="283"/>
      <c r="Y8" s="280" t="s">
        <v>22</v>
      </c>
      <c r="Z8" s="281" t="s">
        <v>17</v>
      </c>
      <c r="AA8" s="281" t="s">
        <v>19</v>
      </c>
      <c r="AB8" s="281" t="s">
        <v>19</v>
      </c>
      <c r="AC8" s="281" t="s">
        <v>18</v>
      </c>
      <c r="AD8" s="290" t="s">
        <v>20</v>
      </c>
      <c r="AE8" s="283"/>
      <c r="AF8" s="291" t="s">
        <v>22</v>
      </c>
      <c r="AG8" s="6">
        <f t="shared" si="0"/>
        <v>4</v>
      </c>
      <c r="AH8" s="7">
        <f t="shared" si="1"/>
        <v>3</v>
      </c>
      <c r="AI8" s="47">
        <f t="shared" si="2"/>
        <v>9</v>
      </c>
      <c r="AJ8" s="7">
        <f t="shared" si="3"/>
        <v>3</v>
      </c>
      <c r="AK8" s="47">
        <f t="shared" si="4"/>
        <v>0</v>
      </c>
      <c r="AL8" s="7">
        <f t="shared" si="5"/>
        <v>5</v>
      </c>
      <c r="AM8" s="7">
        <f t="shared" si="6"/>
        <v>2</v>
      </c>
      <c r="AN8" s="8">
        <f t="shared" si="7"/>
        <v>4</v>
      </c>
      <c r="AO8" s="305">
        <f>(AG8*8)+(AH8*8)+(AI8*8)+(AJ8*8)+(AN8*8)+4</f>
        <v>188</v>
      </c>
      <c r="AP8" s="306">
        <f>SUM(AO8-$AO$4)</f>
        <v>28</v>
      </c>
      <c r="AQ8" s="306">
        <f t="shared" si="8"/>
        <v>9</v>
      </c>
      <c r="AR8" s="306"/>
      <c r="AS8" s="307">
        <f t="shared" si="9"/>
        <v>37</v>
      </c>
      <c r="AT8" s="43"/>
    </row>
    <row r="9" spans="1:95" ht="26.25" customHeight="1">
      <c r="A9" s="733"/>
      <c r="B9" s="88" t="s">
        <v>38</v>
      </c>
      <c r="C9" s="256" t="s">
        <v>17</v>
      </c>
      <c r="D9" s="257" t="s">
        <v>22</v>
      </c>
      <c r="E9" s="258" t="s">
        <v>19</v>
      </c>
      <c r="F9" s="118"/>
      <c r="G9" s="118" t="s">
        <v>19</v>
      </c>
      <c r="H9" s="211" t="s">
        <v>37</v>
      </c>
      <c r="I9" s="258" t="s">
        <v>39</v>
      </c>
      <c r="J9" s="134"/>
      <c r="K9" s="152" t="s">
        <v>22</v>
      </c>
      <c r="L9" s="259" t="s">
        <v>39</v>
      </c>
      <c r="M9" s="260" t="s">
        <v>18</v>
      </c>
      <c r="N9" s="118" t="s">
        <v>19</v>
      </c>
      <c r="O9" s="118" t="s">
        <v>19</v>
      </c>
      <c r="P9" s="118" t="s">
        <v>19</v>
      </c>
      <c r="Q9" s="261" t="s">
        <v>20</v>
      </c>
      <c r="R9" s="262" t="s">
        <v>22</v>
      </c>
      <c r="S9" s="263" t="s">
        <v>37</v>
      </c>
      <c r="T9" s="118" t="s">
        <v>18</v>
      </c>
      <c r="U9" s="118" t="s">
        <v>19</v>
      </c>
      <c r="V9" s="118" t="s">
        <v>19</v>
      </c>
      <c r="W9" s="118" t="s">
        <v>19</v>
      </c>
      <c r="X9" s="134" t="s">
        <v>22</v>
      </c>
      <c r="Y9" s="264" t="s">
        <v>20</v>
      </c>
      <c r="Z9" s="118" t="s">
        <v>22</v>
      </c>
      <c r="AA9" s="265" t="s">
        <v>18</v>
      </c>
      <c r="AB9" s="212" t="s">
        <v>19</v>
      </c>
      <c r="AC9" s="118" t="s">
        <v>19</v>
      </c>
      <c r="AD9" s="118" t="s">
        <v>17</v>
      </c>
      <c r="AE9" s="266" t="s">
        <v>39</v>
      </c>
      <c r="AF9" s="267" t="s">
        <v>20</v>
      </c>
      <c r="AG9" s="65">
        <f t="shared" si="0"/>
        <v>5</v>
      </c>
      <c r="AH9" s="67">
        <f t="shared" si="1"/>
        <v>3</v>
      </c>
      <c r="AI9" s="66">
        <f t="shared" si="2"/>
        <v>10</v>
      </c>
      <c r="AJ9" s="67">
        <f t="shared" si="3"/>
        <v>3</v>
      </c>
      <c r="AK9" s="66">
        <f t="shared" si="4"/>
        <v>0</v>
      </c>
      <c r="AL9" s="67">
        <f t="shared" si="5"/>
        <v>5</v>
      </c>
      <c r="AM9" s="67">
        <f t="shared" si="6"/>
        <v>2</v>
      </c>
      <c r="AN9" s="68">
        <f t="shared" si="7"/>
        <v>2</v>
      </c>
      <c r="AO9" s="297">
        <f>(AG9*8)+(AH9*8)+(AI9*8)+(AJ9*8)+(AN9*8)+6</f>
        <v>190</v>
      </c>
      <c r="AP9" s="77">
        <f t="shared" ref="AP9:AP17" si="10">SUM(AO9-$AO$4)</f>
        <v>30</v>
      </c>
      <c r="AQ9" s="77">
        <f t="shared" si="8"/>
        <v>9</v>
      </c>
      <c r="AR9" s="77"/>
      <c r="AS9" s="78">
        <f t="shared" si="9"/>
        <v>39</v>
      </c>
      <c r="AT9" s="87"/>
    </row>
    <row r="10" spans="1:95" ht="26.25" customHeight="1">
      <c r="A10" s="733"/>
      <c r="B10" s="89" t="s">
        <v>40</v>
      </c>
      <c r="C10" s="198" t="s">
        <v>22</v>
      </c>
      <c r="D10" s="209" t="s">
        <v>17</v>
      </c>
      <c r="E10" s="208" t="s">
        <v>19</v>
      </c>
      <c r="F10" s="209" t="s">
        <v>19</v>
      </c>
      <c r="G10" s="176" t="s">
        <v>20</v>
      </c>
      <c r="H10" s="100" t="s">
        <v>22</v>
      </c>
      <c r="I10" s="231" t="s">
        <v>19</v>
      </c>
      <c r="J10" s="132" t="s">
        <v>18</v>
      </c>
      <c r="K10" s="186" t="s">
        <v>20</v>
      </c>
      <c r="L10" s="100"/>
      <c r="M10" s="232" t="s">
        <v>37</v>
      </c>
      <c r="N10" s="100" t="s">
        <v>17</v>
      </c>
      <c r="O10" s="100" t="s">
        <v>17</v>
      </c>
      <c r="P10" s="100" t="s">
        <v>18</v>
      </c>
      <c r="Q10" s="233" t="s">
        <v>37</v>
      </c>
      <c r="R10" s="150" t="s">
        <v>22</v>
      </c>
      <c r="S10" s="232" t="s">
        <v>37</v>
      </c>
      <c r="T10" s="100" t="s">
        <v>17</v>
      </c>
      <c r="U10" s="100" t="s">
        <v>17</v>
      </c>
      <c r="V10" s="100" t="s">
        <v>18</v>
      </c>
      <c r="W10" s="176" t="s">
        <v>20</v>
      </c>
      <c r="X10" s="132" t="s">
        <v>22</v>
      </c>
      <c r="Y10" s="234" t="s">
        <v>37</v>
      </c>
      <c r="Z10" s="252" t="s">
        <v>39</v>
      </c>
      <c r="AA10" s="100" t="s">
        <v>17</v>
      </c>
      <c r="AB10" s="100" t="s">
        <v>18</v>
      </c>
      <c r="AC10" s="176" t="s">
        <v>20</v>
      </c>
      <c r="AD10" s="100"/>
      <c r="AE10" s="132" t="s">
        <v>22</v>
      </c>
      <c r="AF10" s="183" t="s">
        <v>39</v>
      </c>
      <c r="AG10" s="12">
        <f t="shared" si="0"/>
        <v>8</v>
      </c>
      <c r="AH10" s="13">
        <f t="shared" si="1"/>
        <v>4</v>
      </c>
      <c r="AI10" s="49">
        <f t="shared" si="2"/>
        <v>3</v>
      </c>
      <c r="AJ10" s="13">
        <f t="shared" si="3"/>
        <v>4</v>
      </c>
      <c r="AK10" s="49">
        <f t="shared" si="4"/>
        <v>0</v>
      </c>
      <c r="AL10" s="13">
        <f t="shared" si="5"/>
        <v>5</v>
      </c>
      <c r="AM10" s="13">
        <f t="shared" si="6"/>
        <v>2</v>
      </c>
      <c r="AN10" s="14">
        <f t="shared" si="7"/>
        <v>4</v>
      </c>
      <c r="AO10" s="298">
        <f>(AG10*8)+(AH10*8)+(AI10*8)+(AJ10*8)+(AN10*8)+4</f>
        <v>188</v>
      </c>
      <c r="AP10" s="15">
        <f>SUM(AO10-$AO$4)</f>
        <v>28</v>
      </c>
      <c r="AQ10" s="15">
        <f>(AJ10*3)</f>
        <v>12</v>
      </c>
      <c r="AR10" s="15"/>
      <c r="AS10" s="79">
        <f>SUM(AP10:AR10)</f>
        <v>40</v>
      </c>
      <c r="AT10" s="87"/>
    </row>
    <row r="11" spans="1:95" ht="26.25" customHeight="1">
      <c r="A11" s="733"/>
      <c r="B11" s="90" t="s">
        <v>41</v>
      </c>
      <c r="C11" s="125" t="s">
        <v>18</v>
      </c>
      <c r="D11" s="179" t="s">
        <v>20</v>
      </c>
      <c r="E11" s="101" t="s">
        <v>22</v>
      </c>
      <c r="F11" s="100" t="s">
        <v>19</v>
      </c>
      <c r="G11" s="100" t="s">
        <v>17</v>
      </c>
      <c r="H11" s="100" t="s">
        <v>17</v>
      </c>
      <c r="I11" s="232" t="s">
        <v>37</v>
      </c>
      <c r="J11" s="233" t="s">
        <v>37</v>
      </c>
      <c r="K11" s="150" t="s">
        <v>22</v>
      </c>
      <c r="L11" s="117" t="s">
        <v>19</v>
      </c>
      <c r="M11" s="100" t="s">
        <v>19</v>
      </c>
      <c r="N11" s="100" t="s">
        <v>17</v>
      </c>
      <c r="O11" s="100" t="s">
        <v>22</v>
      </c>
      <c r="P11" s="252" t="s">
        <v>39</v>
      </c>
      <c r="Q11" s="137" t="s">
        <v>18</v>
      </c>
      <c r="R11" s="177" t="s">
        <v>20</v>
      </c>
      <c r="S11" s="100"/>
      <c r="T11" s="207" t="s">
        <v>19</v>
      </c>
      <c r="U11" s="252" t="s">
        <v>39</v>
      </c>
      <c r="V11" s="100" t="s">
        <v>17</v>
      </c>
      <c r="W11" s="100" t="s">
        <v>18</v>
      </c>
      <c r="X11" s="176" t="s">
        <v>20</v>
      </c>
      <c r="Y11" s="150" t="s">
        <v>22</v>
      </c>
      <c r="Z11" s="100"/>
      <c r="AA11" s="100" t="s">
        <v>17</v>
      </c>
      <c r="AB11" s="100" t="s">
        <v>17</v>
      </c>
      <c r="AC11" s="100" t="s">
        <v>18</v>
      </c>
      <c r="AD11" s="177" t="s">
        <v>20</v>
      </c>
      <c r="AE11" s="132" t="s">
        <v>22</v>
      </c>
      <c r="AF11" s="169" t="s">
        <v>19</v>
      </c>
      <c r="AG11" s="12">
        <f t="shared" si="0"/>
        <v>8</v>
      </c>
      <c r="AH11" s="13">
        <f t="shared" si="1"/>
        <v>4</v>
      </c>
      <c r="AI11" s="49">
        <f t="shared" si="2"/>
        <v>5</v>
      </c>
      <c r="AJ11" s="13">
        <f t="shared" si="3"/>
        <v>4</v>
      </c>
      <c r="AK11" s="49">
        <f t="shared" si="4"/>
        <v>0</v>
      </c>
      <c r="AL11" s="13">
        <f t="shared" si="5"/>
        <v>5</v>
      </c>
      <c r="AM11" s="13">
        <f t="shared" si="6"/>
        <v>2</v>
      </c>
      <c r="AN11" s="14">
        <f t="shared" si="7"/>
        <v>2</v>
      </c>
      <c r="AO11" s="298">
        <f>(AG11*8)+(AH11*8)+(AI11*8)+(AJ11*8)+(AN11*8)+4</f>
        <v>188</v>
      </c>
      <c r="AP11" s="15">
        <f t="shared" si="10"/>
        <v>28</v>
      </c>
      <c r="AQ11" s="15">
        <f>(AJ11*3)</f>
        <v>12</v>
      </c>
      <c r="AR11" s="15"/>
      <c r="AS11" s="79">
        <f>SUM(AP11:AR11)</f>
        <v>40</v>
      </c>
      <c r="AT11" s="87"/>
    </row>
    <row r="12" spans="1:95" ht="26.25" customHeight="1">
      <c r="A12" s="733"/>
      <c r="B12" s="89" t="s">
        <v>42</v>
      </c>
      <c r="C12" s="197" t="s">
        <v>17</v>
      </c>
      <c r="D12" s="149" t="s">
        <v>18</v>
      </c>
      <c r="E12" s="177" t="s">
        <v>20</v>
      </c>
      <c r="F12" s="100" t="s">
        <v>22</v>
      </c>
      <c r="G12" s="100"/>
      <c r="H12" s="100" t="s">
        <v>17</v>
      </c>
      <c r="I12" s="209" t="s">
        <v>43</v>
      </c>
      <c r="J12" s="249" t="s">
        <v>39</v>
      </c>
      <c r="K12" s="157" t="s">
        <v>18</v>
      </c>
      <c r="L12" s="176" t="s">
        <v>20</v>
      </c>
      <c r="M12" s="100" t="s">
        <v>22</v>
      </c>
      <c r="N12" s="100" t="s">
        <v>19</v>
      </c>
      <c r="O12" s="100" t="s">
        <v>19</v>
      </c>
      <c r="P12" s="100" t="s">
        <v>19</v>
      </c>
      <c r="Q12" s="137"/>
      <c r="R12" s="157" t="s">
        <v>22</v>
      </c>
      <c r="S12" s="209" t="s">
        <v>44</v>
      </c>
      <c r="T12" s="187" t="s">
        <v>18</v>
      </c>
      <c r="U12" s="172" t="s">
        <v>19</v>
      </c>
      <c r="V12" s="172" t="s">
        <v>17</v>
      </c>
      <c r="W12" s="172" t="s">
        <v>17</v>
      </c>
      <c r="X12" s="173" t="s">
        <v>18</v>
      </c>
      <c r="Y12" s="176" t="s">
        <v>20</v>
      </c>
      <c r="Z12" s="100" t="s">
        <v>22</v>
      </c>
      <c r="AA12" s="100" t="s">
        <v>19</v>
      </c>
      <c r="AB12" s="100" t="s">
        <v>17</v>
      </c>
      <c r="AC12" s="252" t="s">
        <v>39</v>
      </c>
      <c r="AD12" s="100" t="s">
        <v>19</v>
      </c>
      <c r="AE12" s="176" t="s">
        <v>20</v>
      </c>
      <c r="AF12" s="168" t="s">
        <v>22</v>
      </c>
      <c r="AG12" s="12">
        <f t="shared" si="0"/>
        <v>8</v>
      </c>
      <c r="AH12" s="13">
        <f t="shared" si="1"/>
        <v>4</v>
      </c>
      <c r="AI12" s="49">
        <f t="shared" si="2"/>
        <v>7</v>
      </c>
      <c r="AJ12" s="13">
        <f t="shared" si="3"/>
        <v>4</v>
      </c>
      <c r="AK12" s="49">
        <f t="shared" si="4"/>
        <v>0</v>
      </c>
      <c r="AL12" s="13">
        <f t="shared" si="5"/>
        <v>5</v>
      </c>
      <c r="AM12" s="13">
        <f t="shared" si="6"/>
        <v>2</v>
      </c>
      <c r="AN12" s="14">
        <f t="shared" si="7"/>
        <v>0</v>
      </c>
      <c r="AO12" s="298">
        <f>(AG12*8)+(AH12*8)+(AI12*8)+(AJ12*8)+(AN12*8)+4</f>
        <v>188</v>
      </c>
      <c r="AP12" s="15">
        <f t="shared" si="10"/>
        <v>28</v>
      </c>
      <c r="AQ12" s="15">
        <f>(AJ12*3)</f>
        <v>12</v>
      </c>
      <c r="AR12" s="15"/>
      <c r="AS12" s="79">
        <f>SUM(AP12:AR12)</f>
        <v>40</v>
      </c>
      <c r="AT12" s="87"/>
    </row>
    <row r="13" spans="1:95" ht="26.25" customHeight="1">
      <c r="A13" s="733"/>
      <c r="B13" s="90" t="s">
        <v>45</v>
      </c>
      <c r="C13" s="125" t="s">
        <v>22</v>
      </c>
      <c r="D13" s="230" t="s">
        <v>17</v>
      </c>
      <c r="E13" s="100" t="s">
        <v>18</v>
      </c>
      <c r="F13" s="176" t="s">
        <v>20</v>
      </c>
      <c r="G13" s="100"/>
      <c r="H13" s="100" t="s">
        <v>22</v>
      </c>
      <c r="I13" s="207" t="s">
        <v>19</v>
      </c>
      <c r="J13" s="132" t="s">
        <v>17</v>
      </c>
      <c r="K13" s="236" t="s">
        <v>39</v>
      </c>
      <c r="L13" s="100" t="s">
        <v>18</v>
      </c>
      <c r="M13" s="176" t="s">
        <v>20</v>
      </c>
      <c r="N13" s="100" t="s">
        <v>22</v>
      </c>
      <c r="O13" s="232" t="s">
        <v>37</v>
      </c>
      <c r="P13" s="100" t="s">
        <v>17</v>
      </c>
      <c r="Q13" s="251" t="s">
        <v>39</v>
      </c>
      <c r="R13" s="150" t="s">
        <v>18</v>
      </c>
      <c r="S13" s="176" t="s">
        <v>20</v>
      </c>
      <c r="T13" s="100"/>
      <c r="U13" s="232" t="s">
        <v>37</v>
      </c>
      <c r="V13" s="100" t="s">
        <v>19</v>
      </c>
      <c r="W13" s="100" t="s">
        <v>19</v>
      </c>
      <c r="X13" s="233" t="s">
        <v>37</v>
      </c>
      <c r="Y13" s="150" t="s">
        <v>22</v>
      </c>
      <c r="Z13" s="171" t="s">
        <v>43</v>
      </c>
      <c r="AA13" s="100" t="s">
        <v>19</v>
      </c>
      <c r="AB13" s="100" t="s">
        <v>22</v>
      </c>
      <c r="AC13" s="100" t="s">
        <v>17</v>
      </c>
      <c r="AD13" s="100" t="s">
        <v>17</v>
      </c>
      <c r="AE13" s="132" t="s">
        <v>18</v>
      </c>
      <c r="AF13" s="178" t="s">
        <v>20</v>
      </c>
      <c r="AG13" s="16">
        <f t="shared" si="0"/>
        <v>8</v>
      </c>
      <c r="AH13" s="17">
        <f t="shared" si="1"/>
        <v>4</v>
      </c>
      <c r="AI13" s="48">
        <f t="shared" si="2"/>
        <v>4</v>
      </c>
      <c r="AJ13" s="17">
        <f t="shared" si="3"/>
        <v>4</v>
      </c>
      <c r="AK13" s="48">
        <f t="shared" si="4"/>
        <v>0</v>
      </c>
      <c r="AL13" s="17">
        <f t="shared" si="5"/>
        <v>5</v>
      </c>
      <c r="AM13" s="17">
        <f t="shared" si="6"/>
        <v>2</v>
      </c>
      <c r="AN13" s="18">
        <f t="shared" si="7"/>
        <v>3</v>
      </c>
      <c r="AO13" s="299">
        <f>(AG13*8)+(AH13*8)+(AI13*8)+(AJ13*8)+(AN13*8)+4</f>
        <v>188</v>
      </c>
      <c r="AP13" s="38">
        <f t="shared" si="10"/>
        <v>28</v>
      </c>
      <c r="AQ13" s="38">
        <f>(AJ13*3)</f>
        <v>12</v>
      </c>
      <c r="AR13" s="38"/>
      <c r="AS13" s="80">
        <f>SUM(AP13:AR13)</f>
        <v>40</v>
      </c>
      <c r="AT13" s="87"/>
    </row>
    <row r="14" spans="1:95" ht="26.25" customHeight="1">
      <c r="A14" s="733"/>
      <c r="B14" s="89" t="s">
        <v>46</v>
      </c>
      <c r="C14" s="197"/>
      <c r="D14" s="151" t="s">
        <v>22</v>
      </c>
      <c r="E14" s="116" t="s">
        <v>17</v>
      </c>
      <c r="F14" s="239" t="s">
        <v>17</v>
      </c>
      <c r="G14" s="116" t="s">
        <v>18</v>
      </c>
      <c r="H14" s="180" t="s">
        <v>20</v>
      </c>
      <c r="I14" s="116"/>
      <c r="J14" s="133" t="s">
        <v>22</v>
      </c>
      <c r="K14" s="240" t="s">
        <v>17</v>
      </c>
      <c r="L14" s="116" t="s">
        <v>19</v>
      </c>
      <c r="M14" s="116" t="s">
        <v>19</v>
      </c>
      <c r="N14" s="180" t="s">
        <v>20</v>
      </c>
      <c r="O14" s="116" t="s">
        <v>22</v>
      </c>
      <c r="P14" s="116" t="s">
        <v>19</v>
      </c>
      <c r="Q14" s="253" t="s">
        <v>39</v>
      </c>
      <c r="R14" s="240" t="s">
        <v>17</v>
      </c>
      <c r="S14" s="116" t="s">
        <v>18</v>
      </c>
      <c r="T14" s="180" t="s">
        <v>20</v>
      </c>
      <c r="U14" s="116" t="s">
        <v>22</v>
      </c>
      <c r="V14" s="239" t="s">
        <v>19</v>
      </c>
      <c r="W14" s="116" t="s">
        <v>17</v>
      </c>
      <c r="X14" s="253" t="s">
        <v>39</v>
      </c>
      <c r="Y14" s="240" t="s">
        <v>18</v>
      </c>
      <c r="Z14" s="180" t="s">
        <v>20</v>
      </c>
      <c r="AA14" s="116" t="s">
        <v>22</v>
      </c>
      <c r="AB14" s="116" t="s">
        <v>19</v>
      </c>
      <c r="AC14" s="116" t="s">
        <v>19</v>
      </c>
      <c r="AD14" s="116" t="s">
        <v>19</v>
      </c>
      <c r="AE14" s="133" t="s">
        <v>17</v>
      </c>
      <c r="AF14" s="268" t="s">
        <v>18</v>
      </c>
      <c r="AG14" s="12">
        <f t="shared" si="0"/>
        <v>8</v>
      </c>
      <c r="AH14" s="13">
        <f t="shared" si="1"/>
        <v>4</v>
      </c>
      <c r="AI14" s="49">
        <f t="shared" si="2"/>
        <v>7</v>
      </c>
      <c r="AJ14" s="13">
        <f t="shared" si="3"/>
        <v>4</v>
      </c>
      <c r="AK14" s="49">
        <f t="shared" si="4"/>
        <v>0</v>
      </c>
      <c r="AL14" s="13">
        <f t="shared" si="5"/>
        <v>5</v>
      </c>
      <c r="AM14" s="13">
        <f t="shared" si="6"/>
        <v>2</v>
      </c>
      <c r="AN14" s="14">
        <f t="shared" si="7"/>
        <v>0</v>
      </c>
      <c r="AO14" s="298">
        <f>(AG14*8)+(AH14*8)+(AI14*8)+(AJ14*8)+(AN14*8)+4</f>
        <v>188</v>
      </c>
      <c r="AP14" s="15">
        <f t="shared" si="10"/>
        <v>28</v>
      </c>
      <c r="AQ14" s="15">
        <f t="shared" ref="AQ14:AQ26" si="11">(AJ14*3)</f>
        <v>12</v>
      </c>
      <c r="AR14" s="15"/>
      <c r="AS14" s="79">
        <f t="shared" ref="AS14:AS26" si="12">SUM(AP14:AR14)</f>
        <v>40</v>
      </c>
      <c r="AT14" s="87"/>
    </row>
    <row r="15" spans="1:95" ht="26.25" customHeight="1">
      <c r="A15" s="733"/>
      <c r="B15" s="91" t="s">
        <v>47</v>
      </c>
      <c r="C15" s="237" t="s">
        <v>20</v>
      </c>
      <c r="D15" s="59" t="s">
        <v>22</v>
      </c>
      <c r="E15" s="92" t="s">
        <v>19</v>
      </c>
      <c r="F15" s="61" t="s">
        <v>17</v>
      </c>
      <c r="G15" s="61" t="s">
        <v>17</v>
      </c>
      <c r="H15" s="61" t="s">
        <v>18</v>
      </c>
      <c r="I15" s="58" t="s">
        <v>20</v>
      </c>
      <c r="J15" s="55" t="s">
        <v>22</v>
      </c>
      <c r="K15" s="242" t="s">
        <v>37</v>
      </c>
      <c r="L15" s="61" t="s">
        <v>17</v>
      </c>
      <c r="M15" s="61" t="s">
        <v>17</v>
      </c>
      <c r="N15" s="61" t="s">
        <v>18</v>
      </c>
      <c r="O15" s="58" t="s">
        <v>20</v>
      </c>
      <c r="P15" s="61"/>
      <c r="Q15" s="55" t="s">
        <v>22</v>
      </c>
      <c r="R15" s="59" t="s">
        <v>17</v>
      </c>
      <c r="S15" s="61" t="s">
        <v>19</v>
      </c>
      <c r="T15" s="61" t="s">
        <v>19</v>
      </c>
      <c r="U15" s="58" t="s">
        <v>20</v>
      </c>
      <c r="V15" s="61" t="s">
        <v>22</v>
      </c>
      <c r="W15" s="61" t="s">
        <v>19</v>
      </c>
      <c r="X15" s="55" t="s">
        <v>17</v>
      </c>
      <c r="Y15" s="59" t="s">
        <v>17</v>
      </c>
      <c r="Z15" s="61" t="s">
        <v>18</v>
      </c>
      <c r="AA15" s="58" t="s">
        <v>20</v>
      </c>
      <c r="AB15" s="61"/>
      <c r="AC15" s="96" t="s">
        <v>37</v>
      </c>
      <c r="AD15" s="61" t="s">
        <v>18</v>
      </c>
      <c r="AE15" s="55" t="s">
        <v>22</v>
      </c>
      <c r="AF15" s="238" t="s">
        <v>17</v>
      </c>
      <c r="AG15" s="244">
        <f t="shared" si="0"/>
        <v>8</v>
      </c>
      <c r="AH15" s="245">
        <f t="shared" si="1"/>
        <v>4</v>
      </c>
      <c r="AI15" s="245">
        <f t="shared" si="2"/>
        <v>4</v>
      </c>
      <c r="AJ15" s="245">
        <f t="shared" si="3"/>
        <v>5</v>
      </c>
      <c r="AK15" s="246">
        <f t="shared" si="4"/>
        <v>0</v>
      </c>
      <c r="AL15" s="245">
        <f t="shared" si="5"/>
        <v>5</v>
      </c>
      <c r="AM15" s="245">
        <f t="shared" si="6"/>
        <v>2</v>
      </c>
      <c r="AN15" s="247">
        <f t="shared" si="7"/>
        <v>2</v>
      </c>
      <c r="AO15" s="300">
        <f t="shared" ref="AO15" si="13">(AG15*8)+(AH15*8)+(AI15*8)+(AJ15*8)+(AN15*8)</f>
        <v>184</v>
      </c>
      <c r="AP15" s="248">
        <f t="shared" si="10"/>
        <v>24</v>
      </c>
      <c r="AQ15" s="248">
        <f t="shared" si="11"/>
        <v>15</v>
      </c>
      <c r="AR15" s="248"/>
      <c r="AS15" s="301">
        <f t="shared" si="12"/>
        <v>39</v>
      </c>
      <c r="AT15" s="87"/>
    </row>
    <row r="16" spans="1:95" ht="26.25" customHeight="1">
      <c r="A16" s="733"/>
      <c r="B16" s="294" t="s">
        <v>48</v>
      </c>
      <c r="C16" s="174" t="s">
        <v>49</v>
      </c>
      <c r="D16" s="93" t="s">
        <v>17</v>
      </c>
      <c r="E16" s="61" t="s">
        <v>17</v>
      </c>
      <c r="F16" s="243" t="s">
        <v>19</v>
      </c>
      <c r="G16" s="243" t="s">
        <v>19</v>
      </c>
      <c r="H16" s="61" t="s">
        <v>17</v>
      </c>
      <c r="I16" s="61" t="s">
        <v>18</v>
      </c>
      <c r="J16" s="58" t="s">
        <v>20</v>
      </c>
      <c r="K16" s="59" t="s">
        <v>22</v>
      </c>
      <c r="L16" s="61" t="s">
        <v>19</v>
      </c>
      <c r="M16" s="61" t="s">
        <v>17</v>
      </c>
      <c r="N16" s="61"/>
      <c r="O16" s="61" t="s">
        <v>18</v>
      </c>
      <c r="P16" s="58" t="s">
        <v>20</v>
      </c>
      <c r="Q16" s="55" t="s">
        <v>22</v>
      </c>
      <c r="R16" s="59" t="s">
        <v>19</v>
      </c>
      <c r="S16" s="61" t="s">
        <v>17</v>
      </c>
      <c r="T16" s="61" t="s">
        <v>17</v>
      </c>
      <c r="U16" s="61" t="s">
        <v>18</v>
      </c>
      <c r="V16" s="58" t="s">
        <v>20</v>
      </c>
      <c r="W16" s="61"/>
      <c r="X16" s="55" t="s">
        <v>22</v>
      </c>
      <c r="Y16" s="60" t="s">
        <v>39</v>
      </c>
      <c r="Z16" s="61" t="s">
        <v>19</v>
      </c>
      <c r="AA16" s="61" t="s">
        <v>18</v>
      </c>
      <c r="AB16" s="58" t="s">
        <v>20</v>
      </c>
      <c r="AC16" s="61" t="s">
        <v>22</v>
      </c>
      <c r="AD16" s="61" t="s">
        <v>19</v>
      </c>
      <c r="AE16" s="55" t="s">
        <v>19</v>
      </c>
      <c r="AF16" s="269" t="s">
        <v>39</v>
      </c>
      <c r="AG16" s="202">
        <f t="shared" si="0"/>
        <v>8</v>
      </c>
      <c r="AH16" s="13">
        <f t="shared" si="1"/>
        <v>4</v>
      </c>
      <c r="AI16" s="13">
        <f t="shared" si="2"/>
        <v>7</v>
      </c>
      <c r="AJ16" s="13">
        <f t="shared" si="3"/>
        <v>4</v>
      </c>
      <c r="AK16" s="49">
        <f t="shared" si="4"/>
        <v>0</v>
      </c>
      <c r="AL16" s="49">
        <f t="shared" si="5"/>
        <v>5</v>
      </c>
      <c r="AM16" s="13">
        <f t="shared" si="6"/>
        <v>2</v>
      </c>
      <c r="AN16" s="14">
        <f t="shared" si="7"/>
        <v>0</v>
      </c>
      <c r="AO16" s="298">
        <f>(AG16*8)+(AH16*8)+(AI16*8)+(AJ16*8)+(AN16*8)+4</f>
        <v>188</v>
      </c>
      <c r="AP16" s="15">
        <f t="shared" si="10"/>
        <v>28</v>
      </c>
      <c r="AQ16" s="15">
        <f t="shared" si="11"/>
        <v>12</v>
      </c>
      <c r="AR16" s="15"/>
      <c r="AS16" s="79">
        <f t="shared" si="12"/>
        <v>40</v>
      </c>
      <c r="AT16" s="87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</row>
    <row r="17" spans="1:46" ht="26.25" customHeight="1">
      <c r="A17" s="733"/>
      <c r="B17" s="295" t="s">
        <v>50</v>
      </c>
      <c r="C17" s="174" t="s">
        <v>22</v>
      </c>
      <c r="D17" s="309" t="s">
        <v>19</v>
      </c>
      <c r="E17" s="117" t="s">
        <v>19</v>
      </c>
      <c r="F17" s="117" t="s">
        <v>44</v>
      </c>
      <c r="G17" s="117" t="s">
        <v>43</v>
      </c>
      <c r="H17" s="117" t="s">
        <v>17</v>
      </c>
      <c r="I17" s="117" t="s">
        <v>44</v>
      </c>
      <c r="J17" s="184"/>
      <c r="K17" s="185" t="s">
        <v>49</v>
      </c>
      <c r="L17" s="117" t="s">
        <v>44</v>
      </c>
      <c r="M17" s="117" t="s">
        <v>44</v>
      </c>
      <c r="N17" s="117" t="s">
        <v>17</v>
      </c>
      <c r="O17" s="117" t="s">
        <v>44</v>
      </c>
      <c r="P17" s="254" t="s">
        <v>36</v>
      </c>
      <c r="Q17" s="184" t="s">
        <v>51</v>
      </c>
      <c r="R17" s="182" t="s">
        <v>22</v>
      </c>
      <c r="S17" s="117" t="s">
        <v>19</v>
      </c>
      <c r="T17" s="117" t="s">
        <v>43</v>
      </c>
      <c r="U17" s="254" t="s">
        <v>36</v>
      </c>
      <c r="V17" s="255" t="s">
        <v>44</v>
      </c>
      <c r="W17" s="117" t="s">
        <v>51</v>
      </c>
      <c r="X17" s="241" t="s">
        <v>22</v>
      </c>
      <c r="Y17" s="185" t="s">
        <v>19</v>
      </c>
      <c r="Z17" s="117" t="s">
        <v>44</v>
      </c>
      <c r="AA17" s="117" t="s">
        <v>43</v>
      </c>
      <c r="AB17" s="117" t="s">
        <v>43</v>
      </c>
      <c r="AC17" s="117" t="s">
        <v>51</v>
      </c>
      <c r="AD17" s="181" t="s">
        <v>20</v>
      </c>
      <c r="AE17" s="184" t="s">
        <v>49</v>
      </c>
      <c r="AF17" s="293"/>
      <c r="AG17" s="201">
        <f t="shared" si="0"/>
        <v>8</v>
      </c>
      <c r="AH17" s="17">
        <f t="shared" si="1"/>
        <v>3</v>
      </c>
      <c r="AI17" s="17">
        <f t="shared" si="2"/>
        <v>11</v>
      </c>
      <c r="AJ17" s="17">
        <f t="shared" si="3"/>
        <v>1</v>
      </c>
      <c r="AK17" s="48">
        <f t="shared" si="4"/>
        <v>0</v>
      </c>
      <c r="AL17" s="17">
        <f t="shared" si="5"/>
        <v>5</v>
      </c>
      <c r="AM17" s="17">
        <v>0</v>
      </c>
      <c r="AN17" s="18">
        <f t="shared" si="7"/>
        <v>0</v>
      </c>
      <c r="AO17" s="302">
        <f>(AG17*8)+(AH17*8)+(AI17*8)+(AJ17*8)+(AN17*8)+4</f>
        <v>188</v>
      </c>
      <c r="AP17" s="56">
        <f t="shared" si="10"/>
        <v>28</v>
      </c>
      <c r="AQ17" s="192">
        <f t="shared" si="11"/>
        <v>3</v>
      </c>
      <c r="AR17" s="192"/>
      <c r="AS17" s="303">
        <f t="shared" si="12"/>
        <v>31</v>
      </c>
      <c r="AT17" s="87"/>
    </row>
    <row r="18" spans="1:46" ht="26.25" customHeight="1">
      <c r="A18" s="733"/>
      <c r="B18" s="296" t="s">
        <v>52</v>
      </c>
      <c r="C18" s="270"/>
      <c r="D18" s="271"/>
      <c r="E18" s="272"/>
      <c r="F18" s="272"/>
      <c r="G18" s="272"/>
      <c r="H18" s="272"/>
      <c r="I18" s="272"/>
      <c r="J18" s="273"/>
      <c r="K18" s="271"/>
      <c r="L18" s="272"/>
      <c r="M18" s="272"/>
      <c r="N18" s="272"/>
      <c r="O18" s="272"/>
      <c r="P18" s="274"/>
      <c r="Q18" s="275"/>
      <c r="R18" s="276"/>
      <c r="S18" s="274"/>
      <c r="T18" s="274"/>
      <c r="U18" s="274"/>
      <c r="V18" s="274"/>
      <c r="W18" s="274"/>
      <c r="X18" s="275"/>
      <c r="Y18" s="276"/>
      <c r="Z18" s="274"/>
      <c r="AA18" s="274"/>
      <c r="AB18" s="274"/>
      <c r="AC18" s="274"/>
      <c r="AD18" s="274"/>
      <c r="AE18" s="275"/>
      <c r="AF18" s="277"/>
      <c r="AG18" s="278">
        <f t="shared" si="0"/>
        <v>0</v>
      </c>
      <c r="AH18" s="81">
        <f t="shared" si="1"/>
        <v>0</v>
      </c>
      <c r="AI18" s="81">
        <f t="shared" si="2"/>
        <v>0</v>
      </c>
      <c r="AJ18" s="81">
        <f t="shared" si="3"/>
        <v>0</v>
      </c>
      <c r="AK18" s="82">
        <f t="shared" si="4"/>
        <v>0</v>
      </c>
      <c r="AL18" s="81">
        <f t="shared" si="5"/>
        <v>0</v>
      </c>
      <c r="AM18" s="81">
        <v>0</v>
      </c>
      <c r="AN18" s="194">
        <f t="shared" si="7"/>
        <v>0</v>
      </c>
      <c r="AO18" s="304">
        <f t="shared" ref="AO18:AO22" si="14">(AG18*8)+(AH18*8)+(AI18*8)+(AJ18*8)+(AN18*8)</f>
        <v>0</v>
      </c>
      <c r="AP18" s="195">
        <v>0</v>
      </c>
      <c r="AQ18" s="195">
        <f t="shared" si="11"/>
        <v>0</v>
      </c>
      <c r="AR18" s="195"/>
      <c r="AS18" s="196">
        <f t="shared" si="12"/>
        <v>0</v>
      </c>
      <c r="AT18" s="87"/>
    </row>
    <row r="19" spans="1:46" ht="26.25" customHeight="1">
      <c r="A19" s="733"/>
      <c r="B19" s="204" t="s">
        <v>53</v>
      </c>
      <c r="C19" s="292"/>
      <c r="D19" s="185" t="s">
        <v>22</v>
      </c>
      <c r="E19" s="235" t="s">
        <v>19</v>
      </c>
      <c r="F19" s="210" t="s">
        <v>19</v>
      </c>
      <c r="G19" s="117" t="s">
        <v>19</v>
      </c>
      <c r="H19" s="117" t="s">
        <v>19</v>
      </c>
      <c r="I19" s="117" t="s">
        <v>19</v>
      </c>
      <c r="J19" s="184"/>
      <c r="K19" s="185" t="s">
        <v>22</v>
      </c>
      <c r="L19" s="117" t="s">
        <v>19</v>
      </c>
      <c r="M19" s="117" t="s">
        <v>19</v>
      </c>
      <c r="N19" s="117" t="s">
        <v>19</v>
      </c>
      <c r="O19" s="117" t="s">
        <v>19</v>
      </c>
      <c r="P19" s="117" t="s">
        <v>19</v>
      </c>
      <c r="Q19" s="184"/>
      <c r="R19" s="185" t="s">
        <v>22</v>
      </c>
      <c r="S19" s="117" t="s">
        <v>19</v>
      </c>
      <c r="T19" s="117" t="s">
        <v>19</v>
      </c>
      <c r="U19" s="117" t="s">
        <v>19</v>
      </c>
      <c r="V19" s="117" t="s">
        <v>19</v>
      </c>
      <c r="W19" s="117" t="s">
        <v>19</v>
      </c>
      <c r="X19" s="184"/>
      <c r="Y19" s="185" t="s">
        <v>22</v>
      </c>
      <c r="Z19" s="117" t="s">
        <v>19</v>
      </c>
      <c r="AA19" s="117" t="s">
        <v>19</v>
      </c>
      <c r="AB19" s="117" t="s">
        <v>19</v>
      </c>
      <c r="AC19" s="117" t="s">
        <v>19</v>
      </c>
      <c r="AD19" s="117" t="s">
        <v>19</v>
      </c>
      <c r="AE19" s="184"/>
      <c r="AF19" s="293" t="s">
        <v>22</v>
      </c>
      <c r="AG19" s="200">
        <f t="shared" si="0"/>
        <v>0</v>
      </c>
      <c r="AH19" s="188">
        <f t="shared" si="1"/>
        <v>0</v>
      </c>
      <c r="AI19" s="188">
        <f t="shared" si="2"/>
        <v>20</v>
      </c>
      <c r="AJ19" s="188">
        <f t="shared" si="3"/>
        <v>0</v>
      </c>
      <c r="AK19" s="189">
        <f t="shared" si="4"/>
        <v>0</v>
      </c>
      <c r="AL19" s="189">
        <f t="shared" si="5"/>
        <v>5</v>
      </c>
      <c r="AM19" s="188">
        <f t="shared" ref="AM19:AM26" si="15">COUNTIF(C19:AF19,"")</f>
        <v>5</v>
      </c>
      <c r="AN19" s="190">
        <f t="shared" si="7"/>
        <v>0</v>
      </c>
      <c r="AO19" s="191">
        <f>(AG19*8)+(AH19*8)+(AI19*8)+(AJ19*8)+(AN19*8)</f>
        <v>160</v>
      </c>
      <c r="AP19" s="192">
        <f t="shared" ref="AP19:AP26" si="16">SUM(AO19-$AO$4)</f>
        <v>0</v>
      </c>
      <c r="AQ19" s="192">
        <f t="shared" si="11"/>
        <v>0</v>
      </c>
      <c r="AR19" s="192"/>
      <c r="AS19" s="193">
        <f t="shared" si="12"/>
        <v>0</v>
      </c>
      <c r="AT19" s="87"/>
    </row>
    <row r="20" spans="1:46" ht="26.25" customHeight="1">
      <c r="A20" s="733"/>
      <c r="B20" s="203" t="s">
        <v>54</v>
      </c>
      <c r="C20" s="125" t="s">
        <v>19</v>
      </c>
      <c r="D20" s="150" t="s">
        <v>22</v>
      </c>
      <c r="E20" s="100" t="s">
        <v>18</v>
      </c>
      <c r="F20" s="176" t="s">
        <v>20</v>
      </c>
      <c r="G20" s="100"/>
      <c r="H20" s="100" t="s">
        <v>19</v>
      </c>
      <c r="I20" s="313" t="s">
        <v>37</v>
      </c>
      <c r="J20" s="132" t="s">
        <v>17</v>
      </c>
      <c r="K20" s="150" t="s">
        <v>22</v>
      </c>
      <c r="L20" s="100" t="s">
        <v>17</v>
      </c>
      <c r="M20" s="101" t="s">
        <v>17</v>
      </c>
      <c r="N20" s="100" t="s">
        <v>18</v>
      </c>
      <c r="O20" s="176" t="s">
        <v>20</v>
      </c>
      <c r="P20" s="100" t="s">
        <v>22</v>
      </c>
      <c r="Q20" s="132" t="s">
        <v>19</v>
      </c>
      <c r="R20" s="150" t="s">
        <v>17</v>
      </c>
      <c r="S20" s="314" t="s">
        <v>43</v>
      </c>
      <c r="T20" s="100" t="s">
        <v>19</v>
      </c>
      <c r="U20" s="176" t="s">
        <v>20</v>
      </c>
      <c r="V20" s="100" t="s">
        <v>22</v>
      </c>
      <c r="W20" s="100" t="s">
        <v>19</v>
      </c>
      <c r="X20" s="132" t="s">
        <v>17</v>
      </c>
      <c r="Y20" s="150" t="s">
        <v>17</v>
      </c>
      <c r="Z20" s="100" t="s">
        <v>18</v>
      </c>
      <c r="AA20" s="176" t="s">
        <v>20</v>
      </c>
      <c r="AB20" s="100"/>
      <c r="AC20" s="100" t="s">
        <v>22</v>
      </c>
      <c r="AD20" s="100" t="s">
        <v>17</v>
      </c>
      <c r="AE20" s="132" t="s">
        <v>18</v>
      </c>
      <c r="AF20" s="178" t="s">
        <v>20</v>
      </c>
      <c r="AG20" s="201">
        <f t="shared" si="0"/>
        <v>8</v>
      </c>
      <c r="AH20" s="17">
        <f t="shared" si="1"/>
        <v>4</v>
      </c>
      <c r="AI20" s="17">
        <f t="shared" si="2"/>
        <v>5</v>
      </c>
      <c r="AJ20" s="17">
        <f t="shared" si="3"/>
        <v>5</v>
      </c>
      <c r="AK20" s="48">
        <f t="shared" si="4"/>
        <v>0</v>
      </c>
      <c r="AL20" s="48">
        <f t="shared" si="5"/>
        <v>5</v>
      </c>
      <c r="AM20" s="17">
        <f t="shared" si="15"/>
        <v>2</v>
      </c>
      <c r="AN20" s="53">
        <f t="shared" si="7"/>
        <v>1</v>
      </c>
      <c r="AO20" s="37">
        <f>(AG20*8)+(AH20*8)+(AI20*8)+(AJ20*8)+(AN20*8)</f>
        <v>184</v>
      </c>
      <c r="AP20" s="38">
        <f t="shared" si="16"/>
        <v>24</v>
      </c>
      <c r="AQ20" s="38">
        <f t="shared" si="11"/>
        <v>15</v>
      </c>
      <c r="AR20" s="38"/>
      <c r="AS20" s="80">
        <f t="shared" si="12"/>
        <v>39</v>
      </c>
      <c r="AT20" s="87"/>
    </row>
    <row r="21" spans="1:46" ht="26.25" customHeight="1">
      <c r="A21" s="733"/>
      <c r="B21" s="204" t="s">
        <v>55</v>
      </c>
      <c r="C21" s="208" t="s">
        <v>37</v>
      </c>
      <c r="D21" s="213" t="s">
        <v>20</v>
      </c>
      <c r="E21" s="100" t="s">
        <v>22</v>
      </c>
      <c r="F21" s="100" t="s">
        <v>17</v>
      </c>
      <c r="G21" s="100" t="s">
        <v>17</v>
      </c>
      <c r="H21" s="100" t="s">
        <v>18</v>
      </c>
      <c r="I21" s="176" t="s">
        <v>20</v>
      </c>
      <c r="J21" s="132" t="s">
        <v>22</v>
      </c>
      <c r="K21" s="150" t="s">
        <v>19</v>
      </c>
      <c r="L21" s="209" t="s">
        <v>18</v>
      </c>
      <c r="M21" s="100" t="s">
        <v>19</v>
      </c>
      <c r="N21" s="100" t="s">
        <v>19</v>
      </c>
      <c r="O21" s="100" t="s">
        <v>19</v>
      </c>
      <c r="P21" s="101" t="s">
        <v>17</v>
      </c>
      <c r="Q21" s="132" t="s">
        <v>22</v>
      </c>
      <c r="R21" s="150" t="s">
        <v>19</v>
      </c>
      <c r="S21" s="252" t="s">
        <v>39</v>
      </c>
      <c r="T21" s="100" t="s">
        <v>17</v>
      </c>
      <c r="U21" s="100" t="s">
        <v>18</v>
      </c>
      <c r="V21" s="176" t="s">
        <v>20</v>
      </c>
      <c r="W21" s="100"/>
      <c r="X21" s="132" t="s">
        <v>22</v>
      </c>
      <c r="Y21" s="236" t="s">
        <v>39</v>
      </c>
      <c r="Z21" s="100" t="s">
        <v>17</v>
      </c>
      <c r="AA21" s="209" t="s">
        <v>19</v>
      </c>
      <c r="AB21" s="176" t="s">
        <v>20</v>
      </c>
      <c r="AC21" s="100" t="s">
        <v>22</v>
      </c>
      <c r="AD21" s="209"/>
      <c r="AE21" s="132" t="s">
        <v>17</v>
      </c>
      <c r="AF21" s="168" t="s">
        <v>18</v>
      </c>
      <c r="AG21" s="201">
        <f t="shared" si="0"/>
        <v>8</v>
      </c>
      <c r="AH21" s="17">
        <f t="shared" si="1"/>
        <v>4</v>
      </c>
      <c r="AI21" s="17">
        <f t="shared" si="2"/>
        <v>6</v>
      </c>
      <c r="AJ21" s="17">
        <f t="shared" si="3"/>
        <v>4</v>
      </c>
      <c r="AK21" s="48">
        <f t="shared" si="4"/>
        <v>0</v>
      </c>
      <c r="AL21" s="17">
        <f t="shared" si="5"/>
        <v>5</v>
      </c>
      <c r="AM21" s="17">
        <f t="shared" si="15"/>
        <v>2</v>
      </c>
      <c r="AN21" s="53">
        <f t="shared" si="7"/>
        <v>1</v>
      </c>
      <c r="AO21" s="37">
        <f>(AG21*8)+(AH21*8)+(AI21*8)+(AJ21*8)+(AN21*8)+4</f>
        <v>188</v>
      </c>
      <c r="AP21" s="38">
        <f t="shared" si="16"/>
        <v>28</v>
      </c>
      <c r="AQ21" s="38">
        <f t="shared" si="11"/>
        <v>12</v>
      </c>
      <c r="AR21" s="38"/>
      <c r="AS21" s="80">
        <f t="shared" si="12"/>
        <v>40</v>
      </c>
      <c r="AT21" s="87"/>
    </row>
    <row r="22" spans="1:46" ht="26.25" customHeight="1">
      <c r="A22" s="733"/>
      <c r="B22" s="205" t="s">
        <v>56</v>
      </c>
      <c r="C22" s="214" t="s">
        <v>20</v>
      </c>
      <c r="D22" s="209" t="s">
        <v>22</v>
      </c>
      <c r="E22" s="208" t="s">
        <v>19</v>
      </c>
      <c r="F22" s="208"/>
      <c r="G22" s="100" t="s">
        <v>17</v>
      </c>
      <c r="H22" s="100" t="s">
        <v>17</v>
      </c>
      <c r="I22" s="100" t="s">
        <v>18</v>
      </c>
      <c r="J22" s="176" t="s">
        <v>20</v>
      </c>
      <c r="K22" s="157" t="s">
        <v>22</v>
      </c>
      <c r="L22" s="209" t="s">
        <v>44</v>
      </c>
      <c r="M22" s="100" t="s">
        <v>17</v>
      </c>
      <c r="N22" s="100" t="s">
        <v>17</v>
      </c>
      <c r="O22" s="100" t="s">
        <v>18</v>
      </c>
      <c r="P22" s="176" t="s">
        <v>20</v>
      </c>
      <c r="Q22" s="132"/>
      <c r="R22" s="150" t="s">
        <v>22</v>
      </c>
      <c r="S22" s="100" t="s">
        <v>17</v>
      </c>
      <c r="T22" s="100" t="s">
        <v>17</v>
      </c>
      <c r="U22" s="100" t="s">
        <v>19</v>
      </c>
      <c r="V22" s="100" t="s">
        <v>18</v>
      </c>
      <c r="W22" s="176" t="s">
        <v>20</v>
      </c>
      <c r="X22" s="132" t="s">
        <v>22</v>
      </c>
      <c r="Y22" s="234" t="s">
        <v>37</v>
      </c>
      <c r="Z22" s="232" t="s">
        <v>37</v>
      </c>
      <c r="AA22" s="100" t="s">
        <v>17</v>
      </c>
      <c r="AB22" s="209" t="s">
        <v>18</v>
      </c>
      <c r="AC22" s="176" t="s">
        <v>20</v>
      </c>
      <c r="AD22" s="100" t="s">
        <v>22</v>
      </c>
      <c r="AE22" s="233" t="s">
        <v>37</v>
      </c>
      <c r="AF22" s="168" t="s">
        <v>17</v>
      </c>
      <c r="AG22" s="202">
        <f t="shared" si="0"/>
        <v>8</v>
      </c>
      <c r="AH22" s="13">
        <f t="shared" si="1"/>
        <v>4</v>
      </c>
      <c r="AI22" s="13">
        <f t="shared" si="2"/>
        <v>3</v>
      </c>
      <c r="AJ22" s="13">
        <f t="shared" si="3"/>
        <v>5</v>
      </c>
      <c r="AK22" s="49">
        <f t="shared" si="4"/>
        <v>0</v>
      </c>
      <c r="AL22" s="49">
        <f t="shared" si="5"/>
        <v>5</v>
      </c>
      <c r="AM22" s="13">
        <f t="shared" si="15"/>
        <v>2</v>
      </c>
      <c r="AN22" s="54">
        <f t="shared" si="7"/>
        <v>3</v>
      </c>
      <c r="AO22" s="52">
        <f t="shared" si="14"/>
        <v>184</v>
      </c>
      <c r="AP22" s="15">
        <f t="shared" si="16"/>
        <v>24</v>
      </c>
      <c r="AQ22" s="15">
        <f t="shared" si="11"/>
        <v>15</v>
      </c>
      <c r="AR22" s="15"/>
      <c r="AS22" s="79">
        <f t="shared" si="12"/>
        <v>39</v>
      </c>
      <c r="AT22" s="87"/>
    </row>
    <row r="23" spans="1:46" ht="26.25" customHeight="1">
      <c r="A23" s="733"/>
      <c r="B23" s="102" t="s">
        <v>57</v>
      </c>
      <c r="C23" s="125" t="s">
        <v>22</v>
      </c>
      <c r="D23" s="150" t="s">
        <v>18</v>
      </c>
      <c r="E23" s="176" t="s">
        <v>20</v>
      </c>
      <c r="F23" s="101"/>
      <c r="G23" s="100" t="s">
        <v>19</v>
      </c>
      <c r="H23" s="100" t="s">
        <v>17</v>
      </c>
      <c r="I23" s="207" t="s">
        <v>36</v>
      </c>
      <c r="J23" s="132" t="s">
        <v>18</v>
      </c>
      <c r="K23" s="176" t="s">
        <v>20</v>
      </c>
      <c r="L23" s="100" t="s">
        <v>22</v>
      </c>
      <c r="M23" s="101" t="s">
        <v>19</v>
      </c>
      <c r="N23" s="100" t="s">
        <v>17</v>
      </c>
      <c r="O23" s="252" t="s">
        <v>39</v>
      </c>
      <c r="P23" s="235" t="s">
        <v>37</v>
      </c>
      <c r="Q23" s="176" t="s">
        <v>20</v>
      </c>
      <c r="R23" s="150" t="s">
        <v>22</v>
      </c>
      <c r="S23" s="100" t="s">
        <v>19</v>
      </c>
      <c r="T23" s="100" t="s">
        <v>19</v>
      </c>
      <c r="U23" s="100" t="s">
        <v>17</v>
      </c>
      <c r="V23" s="100" t="s">
        <v>17</v>
      </c>
      <c r="W23" s="209" t="s">
        <v>18</v>
      </c>
      <c r="X23" s="132" t="s">
        <v>19</v>
      </c>
      <c r="Y23" s="150" t="s">
        <v>22</v>
      </c>
      <c r="Z23" s="100" t="s">
        <v>19</v>
      </c>
      <c r="AA23" s="100" t="s">
        <v>17</v>
      </c>
      <c r="AB23" s="100" t="s">
        <v>17</v>
      </c>
      <c r="AC23" s="100" t="s">
        <v>18</v>
      </c>
      <c r="AD23" s="176" t="s">
        <v>20</v>
      </c>
      <c r="AE23" s="132"/>
      <c r="AF23" s="175" t="s">
        <v>22</v>
      </c>
      <c r="AG23" s="12">
        <f t="shared" si="0"/>
        <v>8</v>
      </c>
      <c r="AH23" s="13">
        <f t="shared" si="1"/>
        <v>4</v>
      </c>
      <c r="AI23" s="49">
        <f t="shared" si="2"/>
        <v>6</v>
      </c>
      <c r="AJ23" s="13">
        <f t="shared" si="3"/>
        <v>4</v>
      </c>
      <c r="AK23" s="49">
        <f t="shared" si="4"/>
        <v>0</v>
      </c>
      <c r="AL23" s="49">
        <f t="shared" si="5"/>
        <v>5</v>
      </c>
      <c r="AM23" s="13">
        <f t="shared" si="15"/>
        <v>2</v>
      </c>
      <c r="AN23" s="54">
        <f t="shared" si="7"/>
        <v>1</v>
      </c>
      <c r="AO23" s="52">
        <f>(AG23*8)+(AH23*8)+(AI23*8)+(AJ23*8)+(AN23*8)+4</f>
        <v>188</v>
      </c>
      <c r="AP23" s="15">
        <f t="shared" si="16"/>
        <v>28</v>
      </c>
      <c r="AQ23" s="15">
        <f t="shared" si="11"/>
        <v>12</v>
      </c>
      <c r="AR23" s="15"/>
      <c r="AS23" s="79">
        <f t="shared" si="12"/>
        <v>40</v>
      </c>
      <c r="AT23" s="87"/>
    </row>
    <row r="24" spans="1:46" ht="26.25" customHeight="1">
      <c r="A24" s="733"/>
      <c r="B24" s="102" t="s">
        <v>58</v>
      </c>
      <c r="C24" s="125" t="s">
        <v>17</v>
      </c>
      <c r="D24" s="150" t="s">
        <v>22</v>
      </c>
      <c r="E24" s="101" t="s">
        <v>17</v>
      </c>
      <c r="F24" s="252" t="s">
        <v>39</v>
      </c>
      <c r="G24" s="100" t="s">
        <v>18</v>
      </c>
      <c r="H24" s="177" t="s">
        <v>20</v>
      </c>
      <c r="I24" s="100"/>
      <c r="J24" s="132" t="s">
        <v>22</v>
      </c>
      <c r="K24" s="150" t="s">
        <v>18</v>
      </c>
      <c r="L24" s="176" t="s">
        <v>20</v>
      </c>
      <c r="M24" s="100"/>
      <c r="N24" s="100" t="s">
        <v>19</v>
      </c>
      <c r="O24" s="100" t="s">
        <v>17</v>
      </c>
      <c r="P24" s="209" t="s">
        <v>18</v>
      </c>
      <c r="Q24" s="132" t="s">
        <v>18</v>
      </c>
      <c r="R24" s="176" t="s">
        <v>20</v>
      </c>
      <c r="S24" s="100" t="s">
        <v>22</v>
      </c>
      <c r="T24" s="100" t="s">
        <v>19</v>
      </c>
      <c r="U24" s="100" t="s">
        <v>17</v>
      </c>
      <c r="V24" s="100" t="s">
        <v>17</v>
      </c>
      <c r="W24" s="311" t="s">
        <v>19</v>
      </c>
      <c r="X24" s="177" t="s">
        <v>20</v>
      </c>
      <c r="Y24" s="150" t="s">
        <v>22</v>
      </c>
      <c r="Z24" s="100" t="s">
        <v>19</v>
      </c>
      <c r="AA24" s="100" t="s">
        <v>19</v>
      </c>
      <c r="AB24" s="100" t="s">
        <v>19</v>
      </c>
      <c r="AC24" s="100" t="s">
        <v>19</v>
      </c>
      <c r="AD24" s="100" t="s">
        <v>17</v>
      </c>
      <c r="AE24" s="249" t="s">
        <v>39</v>
      </c>
      <c r="AF24" s="168" t="s">
        <v>22</v>
      </c>
      <c r="AG24" s="16">
        <f t="shared" si="0"/>
        <v>8</v>
      </c>
      <c r="AH24" s="17">
        <f t="shared" si="1"/>
        <v>4</v>
      </c>
      <c r="AI24" s="48">
        <f t="shared" si="2"/>
        <v>7</v>
      </c>
      <c r="AJ24" s="17">
        <f t="shared" si="3"/>
        <v>4</v>
      </c>
      <c r="AK24" s="48">
        <f t="shared" si="4"/>
        <v>0</v>
      </c>
      <c r="AL24" s="48">
        <f t="shared" si="5"/>
        <v>5</v>
      </c>
      <c r="AM24" s="17">
        <f t="shared" si="15"/>
        <v>2</v>
      </c>
      <c r="AN24" s="53">
        <f t="shared" si="7"/>
        <v>0</v>
      </c>
      <c r="AO24" s="37">
        <f>(AG24*8)+(AH24*8)+(AI24*8)+(AJ24*8)+(AN24*8)+4</f>
        <v>188</v>
      </c>
      <c r="AP24" s="38">
        <f t="shared" si="16"/>
        <v>28</v>
      </c>
      <c r="AQ24" s="38">
        <f t="shared" si="11"/>
        <v>12</v>
      </c>
      <c r="AR24" s="38"/>
      <c r="AS24" s="80">
        <f t="shared" si="12"/>
        <v>40</v>
      </c>
      <c r="AT24" s="87"/>
    </row>
    <row r="25" spans="1:46" ht="26.25" customHeight="1">
      <c r="A25" s="733"/>
      <c r="B25" s="102" t="s">
        <v>59</v>
      </c>
      <c r="C25" s="310" t="s">
        <v>51</v>
      </c>
      <c r="D25" s="215" t="s">
        <v>22</v>
      </c>
      <c r="E25" s="213" t="s">
        <v>39</v>
      </c>
      <c r="F25" s="199" t="s">
        <v>19</v>
      </c>
      <c r="G25" s="199" t="s">
        <v>19</v>
      </c>
      <c r="H25" s="232" t="s">
        <v>37</v>
      </c>
      <c r="I25" s="100" t="s">
        <v>22</v>
      </c>
      <c r="J25" s="249" t="s">
        <v>39</v>
      </c>
      <c r="K25" s="150" t="s">
        <v>17</v>
      </c>
      <c r="L25" s="209" t="s">
        <v>19</v>
      </c>
      <c r="M25" s="176" t="s">
        <v>20</v>
      </c>
      <c r="N25" s="100" t="s">
        <v>22</v>
      </c>
      <c r="O25" s="232" t="s">
        <v>37</v>
      </c>
      <c r="P25" s="100" t="s">
        <v>17</v>
      </c>
      <c r="Q25" s="132" t="s">
        <v>17</v>
      </c>
      <c r="R25" s="150" t="s">
        <v>18</v>
      </c>
      <c r="S25" s="176" t="s">
        <v>20</v>
      </c>
      <c r="T25" s="100"/>
      <c r="U25" s="100" t="s">
        <v>22</v>
      </c>
      <c r="V25" s="100" t="s">
        <v>19</v>
      </c>
      <c r="W25" s="100" t="s">
        <v>17</v>
      </c>
      <c r="X25" s="132" t="s">
        <v>18</v>
      </c>
      <c r="Y25" s="176" t="s">
        <v>20</v>
      </c>
      <c r="Z25" s="209"/>
      <c r="AA25" s="209" t="s">
        <v>19</v>
      </c>
      <c r="AB25" s="100" t="s">
        <v>17</v>
      </c>
      <c r="AC25" s="100" t="s">
        <v>17</v>
      </c>
      <c r="AD25" s="100" t="s">
        <v>18</v>
      </c>
      <c r="AE25" s="176" t="s">
        <v>20</v>
      </c>
      <c r="AF25" s="168" t="s">
        <v>22</v>
      </c>
      <c r="AG25" s="16">
        <f t="shared" si="0"/>
        <v>8</v>
      </c>
      <c r="AH25" s="17">
        <f t="shared" si="1"/>
        <v>4</v>
      </c>
      <c r="AI25" s="48">
        <f t="shared" si="2"/>
        <v>5</v>
      </c>
      <c r="AJ25" s="17">
        <f t="shared" si="3"/>
        <v>4</v>
      </c>
      <c r="AK25" s="48">
        <f t="shared" si="4"/>
        <v>0</v>
      </c>
      <c r="AL25" s="48">
        <f t="shared" si="5"/>
        <v>5</v>
      </c>
      <c r="AM25" s="17">
        <f t="shared" si="15"/>
        <v>2</v>
      </c>
      <c r="AN25" s="53">
        <f t="shared" si="7"/>
        <v>2</v>
      </c>
      <c r="AO25" s="37">
        <f>(AG25*8)+(AH25*8)+(AI25*8)+(AJ25*8)+(AN25*8)+4</f>
        <v>188</v>
      </c>
      <c r="AP25" s="38">
        <f t="shared" si="16"/>
        <v>28</v>
      </c>
      <c r="AQ25" s="38">
        <f t="shared" si="11"/>
        <v>12</v>
      </c>
      <c r="AR25" s="38"/>
      <c r="AS25" s="80">
        <f t="shared" si="12"/>
        <v>40</v>
      </c>
      <c r="AT25" s="87"/>
    </row>
    <row r="26" spans="1:46" ht="26.25" customHeight="1">
      <c r="A26" s="733"/>
      <c r="B26" s="216" t="s">
        <v>60</v>
      </c>
      <c r="C26" s="217" t="s">
        <v>17</v>
      </c>
      <c r="D26" s="218" t="s">
        <v>19</v>
      </c>
      <c r="E26" s="219" t="s">
        <v>19</v>
      </c>
      <c r="F26" s="219" t="s">
        <v>18</v>
      </c>
      <c r="G26" s="220" t="s">
        <v>20</v>
      </c>
      <c r="H26" s="219" t="s">
        <v>22</v>
      </c>
      <c r="I26" s="232" t="s">
        <v>37</v>
      </c>
      <c r="J26" s="221" t="s">
        <v>19</v>
      </c>
      <c r="K26" s="250" t="s">
        <v>39</v>
      </c>
      <c r="L26" s="219" t="s">
        <v>17</v>
      </c>
      <c r="M26" s="219" t="s">
        <v>18</v>
      </c>
      <c r="N26" s="220" t="s">
        <v>20</v>
      </c>
      <c r="O26" s="219" t="s">
        <v>22</v>
      </c>
      <c r="P26" s="219"/>
      <c r="Q26" s="221" t="s">
        <v>17</v>
      </c>
      <c r="R26" s="250" t="s">
        <v>39</v>
      </c>
      <c r="S26" s="219" t="s">
        <v>18</v>
      </c>
      <c r="T26" s="222" t="s">
        <v>20</v>
      </c>
      <c r="U26" s="219" t="s">
        <v>22</v>
      </c>
      <c r="V26" s="219"/>
      <c r="W26" s="219" t="s">
        <v>17</v>
      </c>
      <c r="X26" s="221" t="s">
        <v>17</v>
      </c>
      <c r="Y26" s="218" t="s">
        <v>18</v>
      </c>
      <c r="Z26" s="220" t="s">
        <v>20</v>
      </c>
      <c r="AA26" s="219" t="s">
        <v>22</v>
      </c>
      <c r="AB26" s="219" t="s">
        <v>19</v>
      </c>
      <c r="AC26" s="219" t="s">
        <v>17</v>
      </c>
      <c r="AD26" s="219" t="s">
        <v>19</v>
      </c>
      <c r="AE26" s="221" t="s">
        <v>22</v>
      </c>
      <c r="AF26" s="223" t="s">
        <v>19</v>
      </c>
      <c r="AG26" s="103">
        <f t="shared" si="0"/>
        <v>8</v>
      </c>
      <c r="AH26" s="81">
        <f t="shared" si="1"/>
        <v>4</v>
      </c>
      <c r="AI26" s="82">
        <f t="shared" si="2"/>
        <v>6</v>
      </c>
      <c r="AJ26" s="81">
        <f t="shared" si="3"/>
        <v>4</v>
      </c>
      <c r="AK26" s="82">
        <f t="shared" si="4"/>
        <v>0</v>
      </c>
      <c r="AL26" s="82">
        <f t="shared" si="5"/>
        <v>5</v>
      </c>
      <c r="AM26" s="81">
        <f t="shared" si="15"/>
        <v>2</v>
      </c>
      <c r="AN26" s="83">
        <f t="shared" si="7"/>
        <v>1</v>
      </c>
      <c r="AO26" s="84">
        <f>(AG26*8)+(AH26*8)+(AI26*8)+(AJ26*8)+(AN26*8)+4</f>
        <v>188</v>
      </c>
      <c r="AP26" s="85">
        <f t="shared" si="16"/>
        <v>28</v>
      </c>
      <c r="AQ26" s="85">
        <f t="shared" si="11"/>
        <v>12</v>
      </c>
      <c r="AR26" s="85"/>
      <c r="AS26" s="86">
        <f t="shared" si="12"/>
        <v>40</v>
      </c>
      <c r="AT26" s="87"/>
    </row>
    <row r="27" spans="1:46" ht="26.25" customHeight="1">
      <c r="A27" s="170"/>
      <c r="B27" s="224" t="s">
        <v>61</v>
      </c>
      <c r="C27" s="225">
        <f t="shared" ref="C27:AF27" si="17">COUNTIF(C8:C26,"A")+COUNTIF(C8:C26,"B")+COUNTIF(C8:C26,"C")+COUNTIF(C8:C26,"A2")+COUNTIF(C8:C26,"A3")+COUNTIF(C8:C26,"A1")+COUNTIF(C8:C26,"A4")+COUNTIF(C8:C26,"B2")+COUNTIF(C8:C26,"B1")+COUNTIF(C8:C26,"C2")+COUNTIF(C8:C26,"C1")+COUNTIF(C8:C26,"C3")+COUNTIF(C8:C26,"C4")</f>
        <v>7</v>
      </c>
      <c r="D27" s="226">
        <f t="shared" si="17"/>
        <v>8</v>
      </c>
      <c r="E27" s="227">
        <f t="shared" si="17"/>
        <v>14</v>
      </c>
      <c r="F27" s="227">
        <f t="shared" si="17"/>
        <v>12</v>
      </c>
      <c r="G27" s="227">
        <f t="shared" si="17"/>
        <v>12</v>
      </c>
      <c r="H27" s="227">
        <f t="shared" si="17"/>
        <v>11</v>
      </c>
      <c r="I27" s="227">
        <f t="shared" si="17"/>
        <v>10</v>
      </c>
      <c r="J27" s="228">
        <f t="shared" si="17"/>
        <v>7</v>
      </c>
      <c r="K27" s="226">
        <f t="shared" si="17"/>
        <v>7</v>
      </c>
      <c r="L27" s="227">
        <f t="shared" si="17"/>
        <v>13</v>
      </c>
      <c r="M27" s="227">
        <f t="shared" si="17"/>
        <v>13</v>
      </c>
      <c r="N27" s="227">
        <f t="shared" si="17"/>
        <v>13</v>
      </c>
      <c r="O27" s="227">
        <f t="shared" si="17"/>
        <v>11</v>
      </c>
      <c r="P27" s="227">
        <f t="shared" si="17"/>
        <v>12</v>
      </c>
      <c r="Q27" s="228">
        <f t="shared" si="17"/>
        <v>8</v>
      </c>
      <c r="R27" s="226">
        <f t="shared" si="17"/>
        <v>8</v>
      </c>
      <c r="S27" s="227">
        <f t="shared" si="17"/>
        <v>11</v>
      </c>
      <c r="T27" s="227">
        <f t="shared" si="17"/>
        <v>14</v>
      </c>
      <c r="U27" s="227">
        <f t="shared" si="17"/>
        <v>12</v>
      </c>
      <c r="V27" s="227">
        <f t="shared" si="17"/>
        <v>13</v>
      </c>
      <c r="W27" s="227">
        <f t="shared" si="17"/>
        <v>13</v>
      </c>
      <c r="X27" s="228">
        <f t="shared" si="17"/>
        <v>7</v>
      </c>
      <c r="Y27" s="226">
        <f t="shared" si="17"/>
        <v>7</v>
      </c>
      <c r="Z27" s="227">
        <f t="shared" si="17"/>
        <v>11</v>
      </c>
      <c r="AA27" s="227">
        <f t="shared" si="17"/>
        <v>14</v>
      </c>
      <c r="AB27" s="227">
        <f t="shared" si="17"/>
        <v>13</v>
      </c>
      <c r="AC27" s="227">
        <f t="shared" si="17"/>
        <v>12</v>
      </c>
      <c r="AD27" s="227">
        <f t="shared" si="17"/>
        <v>11</v>
      </c>
      <c r="AE27" s="228">
        <f t="shared" si="17"/>
        <v>7</v>
      </c>
      <c r="AF27" s="229">
        <f t="shared" si="17"/>
        <v>8</v>
      </c>
      <c r="AG27" s="40"/>
      <c r="AH27" s="71"/>
      <c r="AI27" s="40"/>
      <c r="AJ27" s="71"/>
      <c r="AK27" s="40"/>
      <c r="AL27" s="40"/>
      <c r="AM27" s="40"/>
      <c r="AN27" s="40"/>
      <c r="AO27" s="41"/>
      <c r="AP27" s="42"/>
      <c r="AQ27" s="42"/>
      <c r="AR27" s="42"/>
      <c r="AS27" s="42"/>
    </row>
    <row r="28" spans="1:46" ht="16.5" customHeight="1">
      <c r="A28" s="28" t="s">
        <v>62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9"/>
      <c r="Q28" s="28"/>
      <c r="R28" s="28"/>
      <c r="S28" s="28"/>
      <c r="T28" s="28"/>
      <c r="U28" s="28"/>
      <c r="V28" s="28"/>
      <c r="W28" s="28"/>
      <c r="X28" s="28"/>
      <c r="Y28" s="28"/>
      <c r="Z28" s="39"/>
      <c r="AA28" s="28"/>
      <c r="AB28" s="28"/>
      <c r="AC28" s="28"/>
      <c r="AD28" s="28"/>
      <c r="AE28" s="28"/>
      <c r="AF28" s="28"/>
      <c r="AG28" s="22" t="s">
        <v>63</v>
      </c>
      <c r="AH28" s="72"/>
      <c r="AI28" s="20"/>
      <c r="AJ28" s="22" t="s">
        <v>64</v>
      </c>
      <c r="AK28" s="27"/>
      <c r="AL28" s="26"/>
      <c r="AM28" s="22"/>
      <c r="AN28" s="22" t="s">
        <v>65</v>
      </c>
      <c r="AO28" s="22"/>
      <c r="AP28" s="26"/>
      <c r="AQ28" s="19"/>
      <c r="AR28" s="734"/>
      <c r="AS28" s="734"/>
    </row>
    <row r="29" spans="1:46" ht="16.5" customHeight="1">
      <c r="A29" s="31" t="s">
        <v>66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G29" s="34" t="s">
        <v>44</v>
      </c>
      <c r="AH29" s="28"/>
      <c r="AI29" s="35" t="s">
        <v>44</v>
      </c>
      <c r="AJ29" s="72"/>
      <c r="AK29" s="24" t="s">
        <v>37</v>
      </c>
      <c r="AL29" s="57"/>
      <c r="AM29" s="36" t="s">
        <v>44</v>
      </c>
      <c r="AN29" s="21"/>
      <c r="AO29" s="25"/>
      <c r="AP29" s="19"/>
      <c r="AQ29" s="19"/>
      <c r="AR29" s="734"/>
      <c r="AS29" s="734"/>
    </row>
    <row r="30" spans="1:46" ht="12.75" customHeight="1">
      <c r="A30" s="30"/>
      <c r="B30" s="31" t="s">
        <v>67</v>
      </c>
      <c r="C30" s="21"/>
      <c r="D30" s="21"/>
      <c r="E30" s="21"/>
      <c r="F30" s="21"/>
      <c r="G30" s="21"/>
      <c r="H30" s="21"/>
      <c r="I30" s="21"/>
      <c r="J30" s="31" t="s">
        <v>68</v>
      </c>
      <c r="K30" s="32"/>
      <c r="L30" s="32"/>
      <c r="M30" s="21"/>
      <c r="P30" s="21"/>
      <c r="Q30" s="21"/>
      <c r="R30" s="21"/>
      <c r="S30" s="33" t="s">
        <v>69</v>
      </c>
      <c r="T30" s="21"/>
      <c r="U30" s="21"/>
      <c r="V30" s="21"/>
      <c r="W30" s="21"/>
      <c r="X30" s="21"/>
      <c r="Y30" s="21"/>
      <c r="AG30" s="23" t="s">
        <v>70</v>
      </c>
      <c r="AH30" s="23"/>
      <c r="AI30" s="23" t="s">
        <v>71</v>
      </c>
      <c r="AJ30" s="2"/>
      <c r="AK30" s="2"/>
      <c r="AL30" s="2"/>
      <c r="AM30" s="722" t="s">
        <v>72</v>
      </c>
      <c r="AN30" s="722"/>
      <c r="AO30" s="722"/>
      <c r="AP30" s="722"/>
      <c r="AQ30" s="722"/>
      <c r="AR30" s="722"/>
      <c r="AS30" s="2"/>
    </row>
    <row r="31" spans="1:46" ht="12" customHeight="1">
      <c r="A31" s="723" t="s">
        <v>73</v>
      </c>
      <c r="B31" s="723"/>
      <c r="C31" s="723"/>
      <c r="D31" s="723"/>
      <c r="E31" s="723"/>
      <c r="F31" s="723"/>
      <c r="G31" s="723"/>
      <c r="H31" s="723"/>
      <c r="I31" s="723"/>
      <c r="J31" s="723"/>
      <c r="K31" s="723"/>
      <c r="L31" s="723"/>
      <c r="M31" s="723"/>
      <c r="N31" s="723"/>
      <c r="O31" s="723"/>
      <c r="P31" s="723"/>
      <c r="Q31" s="723"/>
      <c r="R31" s="723"/>
      <c r="S31" s="723"/>
      <c r="T31" s="723"/>
      <c r="U31" s="723"/>
      <c r="V31" s="723"/>
      <c r="W31" s="723"/>
      <c r="X31" s="723"/>
      <c r="Y31" s="723"/>
      <c r="Z31" s="723"/>
      <c r="AA31" s="723"/>
      <c r="AB31" s="723"/>
      <c r="AC31" s="723"/>
      <c r="AD31" s="723"/>
      <c r="AE31" s="723"/>
      <c r="AF31" s="723"/>
      <c r="AG31" s="723"/>
      <c r="AH31" s="723"/>
      <c r="AI31" s="723"/>
      <c r="AJ31" s="723"/>
      <c r="AK31" s="723"/>
      <c r="AL31" s="723"/>
      <c r="AM31" s="723"/>
      <c r="AN31" s="723"/>
      <c r="AO31" s="723"/>
      <c r="AP31" s="723"/>
      <c r="AQ31" s="723"/>
      <c r="AR31" s="723"/>
      <c r="AS31" s="723"/>
    </row>
    <row r="32" spans="1:46" ht="12" customHeight="1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3"/>
      <c r="P32" s="723"/>
      <c r="Q32" s="723"/>
      <c r="R32" s="723"/>
      <c r="S32" s="723"/>
      <c r="T32" s="723"/>
      <c r="U32" s="723"/>
      <c r="V32" s="723"/>
      <c r="W32" s="723"/>
      <c r="X32" s="723"/>
      <c r="Y32" s="723"/>
      <c r="Z32" s="723"/>
      <c r="AA32" s="723"/>
      <c r="AB32" s="723"/>
      <c r="AC32" s="723"/>
      <c r="AD32" s="723"/>
      <c r="AE32" s="723"/>
      <c r="AF32" s="723"/>
      <c r="AG32" s="723"/>
      <c r="AH32" s="723"/>
      <c r="AI32" s="723"/>
      <c r="AJ32" s="723"/>
      <c r="AK32" s="723"/>
      <c r="AL32" s="723"/>
      <c r="AM32" s="723"/>
      <c r="AN32" s="723"/>
      <c r="AO32" s="723"/>
      <c r="AP32" s="723"/>
      <c r="AQ32" s="723"/>
      <c r="AR32" s="723"/>
      <c r="AS32" s="723"/>
    </row>
    <row r="33" spans="1:45" ht="18.75" customHeight="1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3"/>
      <c r="P33" s="723"/>
      <c r="Q33" s="723"/>
      <c r="R33" s="723"/>
      <c r="S33" s="723"/>
      <c r="T33" s="723"/>
      <c r="U33" s="723"/>
      <c r="V33" s="723"/>
      <c r="W33" s="723"/>
      <c r="X33" s="723"/>
      <c r="Y33" s="723"/>
      <c r="Z33" s="723"/>
      <c r="AA33" s="723"/>
      <c r="AB33" s="723"/>
      <c r="AC33" s="723"/>
      <c r="AD33" s="723"/>
      <c r="AE33" s="723"/>
      <c r="AF33" s="723"/>
      <c r="AG33" s="723"/>
      <c r="AH33" s="723"/>
      <c r="AI33" s="723"/>
      <c r="AJ33" s="723"/>
      <c r="AK33" s="723"/>
      <c r="AL33" s="723"/>
      <c r="AM33" s="723"/>
      <c r="AN33" s="723"/>
      <c r="AO33" s="723"/>
      <c r="AP33" s="723"/>
      <c r="AQ33" s="723"/>
      <c r="AR33" s="723"/>
      <c r="AS33" s="723"/>
    </row>
    <row r="34" spans="1:45" ht="12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</row>
    <row r="35" spans="1:45" ht="12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</row>
    <row r="36" spans="1:45" ht="12" customHeight="1">
      <c r="A36" s="45" t="s">
        <v>74</v>
      </c>
      <c r="B36" s="46"/>
      <c r="C36" s="50">
        <f t="shared" ref="C36:AF36" si="18">COUNTIF(C3:C26,"A")+COUNTIF(C3:C26,"A1")+COUNTIF(C3:C26,"A2")+COUNTIF(C3:C26,"A3")+COUNTIF(C3:C26,"A4")</f>
        <v>4</v>
      </c>
      <c r="D36" s="51">
        <f t="shared" si="18"/>
        <v>4</v>
      </c>
      <c r="E36" s="46">
        <f t="shared" si="18"/>
        <v>4</v>
      </c>
      <c r="F36" s="46">
        <f t="shared" si="18"/>
        <v>4</v>
      </c>
      <c r="G36" s="46">
        <f t="shared" si="18"/>
        <v>5</v>
      </c>
      <c r="H36" s="46">
        <f t="shared" si="18"/>
        <v>6</v>
      </c>
      <c r="I36" s="46">
        <f t="shared" si="18"/>
        <v>4</v>
      </c>
      <c r="J36" s="50">
        <f t="shared" si="18"/>
        <v>4</v>
      </c>
      <c r="K36" s="51">
        <f t="shared" si="18"/>
        <v>4</v>
      </c>
      <c r="L36" s="46">
        <f t="shared" si="18"/>
        <v>4</v>
      </c>
      <c r="M36" s="46">
        <f t="shared" si="18"/>
        <v>4</v>
      </c>
      <c r="N36" s="46">
        <f t="shared" si="18"/>
        <v>5</v>
      </c>
      <c r="O36" s="46">
        <f t="shared" si="18"/>
        <v>4</v>
      </c>
      <c r="P36" s="46">
        <f t="shared" si="18"/>
        <v>5</v>
      </c>
      <c r="Q36" s="50">
        <f t="shared" si="18"/>
        <v>4</v>
      </c>
      <c r="R36" s="51">
        <f t="shared" si="18"/>
        <v>4</v>
      </c>
      <c r="S36" s="46">
        <f t="shared" si="18"/>
        <v>4</v>
      </c>
      <c r="T36" s="46">
        <f t="shared" si="18"/>
        <v>5</v>
      </c>
      <c r="U36" s="46">
        <f t="shared" si="18"/>
        <v>5</v>
      </c>
      <c r="V36" s="46">
        <f t="shared" si="18"/>
        <v>4</v>
      </c>
      <c r="W36" s="46">
        <f t="shared" si="18"/>
        <v>4</v>
      </c>
      <c r="X36" s="50">
        <f t="shared" si="18"/>
        <v>4</v>
      </c>
      <c r="Y36" s="51">
        <f t="shared" si="18"/>
        <v>4</v>
      </c>
      <c r="Z36" s="46">
        <f t="shared" si="18"/>
        <v>4</v>
      </c>
      <c r="AA36" s="46">
        <f t="shared" si="18"/>
        <v>5</v>
      </c>
      <c r="AB36" s="46">
        <f t="shared" si="18"/>
        <v>5</v>
      </c>
      <c r="AC36" s="46">
        <f t="shared" si="18"/>
        <v>4</v>
      </c>
      <c r="AD36" s="46">
        <f t="shared" si="18"/>
        <v>4</v>
      </c>
      <c r="AE36" s="50">
        <f t="shared" si="18"/>
        <v>4</v>
      </c>
      <c r="AF36" s="51">
        <f t="shared" si="18"/>
        <v>4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ht="12" customHeight="1">
      <c r="A37" s="45" t="s">
        <v>75</v>
      </c>
      <c r="B37" s="46"/>
      <c r="C37" s="50">
        <f t="shared" ref="C37:AF37" si="19">COUNTIF(C3:C26,"B")+COUNTIF(C3:C26,"B1")+COUNTIF(C3:C26,"B2")+COUNTIF(C3:C26,"B3")+COUNTIF(C3:C26,"B4")</f>
        <v>2</v>
      </c>
      <c r="D37" s="51">
        <f t="shared" si="19"/>
        <v>2</v>
      </c>
      <c r="E37" s="46">
        <f t="shared" si="19"/>
        <v>2</v>
      </c>
      <c r="F37" s="46">
        <f t="shared" si="19"/>
        <v>2</v>
      </c>
      <c r="G37" s="46">
        <f t="shared" si="19"/>
        <v>2</v>
      </c>
      <c r="H37" s="46">
        <f t="shared" si="19"/>
        <v>2</v>
      </c>
      <c r="I37" s="46">
        <f t="shared" si="19"/>
        <v>2</v>
      </c>
      <c r="J37" s="50">
        <f t="shared" si="19"/>
        <v>2</v>
      </c>
      <c r="K37" s="51">
        <f t="shared" si="19"/>
        <v>2</v>
      </c>
      <c r="L37" s="46">
        <f t="shared" si="19"/>
        <v>2</v>
      </c>
      <c r="M37" s="46">
        <f t="shared" si="19"/>
        <v>2</v>
      </c>
      <c r="N37" s="46">
        <f t="shared" si="19"/>
        <v>2</v>
      </c>
      <c r="O37" s="46">
        <f t="shared" si="19"/>
        <v>2</v>
      </c>
      <c r="P37" s="46">
        <f t="shared" si="19"/>
        <v>2</v>
      </c>
      <c r="Q37" s="50">
        <f t="shared" si="19"/>
        <v>3</v>
      </c>
      <c r="R37" s="51">
        <f t="shared" si="19"/>
        <v>2</v>
      </c>
      <c r="S37" s="46">
        <f t="shared" si="19"/>
        <v>2</v>
      </c>
      <c r="T37" s="46">
        <f t="shared" si="19"/>
        <v>2</v>
      </c>
      <c r="U37" s="46">
        <f t="shared" si="19"/>
        <v>2</v>
      </c>
      <c r="V37" s="46">
        <f t="shared" si="19"/>
        <v>3</v>
      </c>
      <c r="W37" s="46">
        <f t="shared" si="19"/>
        <v>3</v>
      </c>
      <c r="X37" s="50">
        <f t="shared" si="19"/>
        <v>2</v>
      </c>
      <c r="Y37" s="51">
        <f t="shared" si="19"/>
        <v>2</v>
      </c>
      <c r="Z37" s="46">
        <f t="shared" si="19"/>
        <v>2</v>
      </c>
      <c r="AA37" s="46">
        <f t="shared" si="19"/>
        <v>2</v>
      </c>
      <c r="AB37" s="46">
        <f t="shared" si="19"/>
        <v>2</v>
      </c>
      <c r="AC37" s="46">
        <f t="shared" si="19"/>
        <v>4</v>
      </c>
      <c r="AD37" s="46">
        <f t="shared" si="19"/>
        <v>2</v>
      </c>
      <c r="AE37" s="50">
        <f t="shared" si="19"/>
        <v>2</v>
      </c>
      <c r="AF37" s="51">
        <f t="shared" si="19"/>
        <v>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ht="12" customHeight="1">
      <c r="A38" s="45" t="s">
        <v>76</v>
      </c>
      <c r="B38" s="46"/>
      <c r="C38" s="50">
        <f t="shared" ref="C38:AF38" si="20">COUNTIF(C3:C26,"C")+COUNTIF(C3:C26,"C1")+COUNTIF(C3:C26,"C2")+COUNTIF(C3:C26,"C3")+COUNTIF(C3:C26,"C4")</f>
        <v>1</v>
      </c>
      <c r="D38" s="51">
        <f t="shared" si="20"/>
        <v>2</v>
      </c>
      <c r="E38" s="46">
        <f t="shared" si="20"/>
        <v>8</v>
      </c>
      <c r="F38" s="46">
        <f t="shared" si="20"/>
        <v>6</v>
      </c>
      <c r="G38" s="46">
        <f t="shared" si="20"/>
        <v>5</v>
      </c>
      <c r="H38" s="46">
        <f t="shared" si="20"/>
        <v>3</v>
      </c>
      <c r="I38" s="46">
        <f t="shared" si="20"/>
        <v>4</v>
      </c>
      <c r="J38" s="50">
        <f t="shared" si="20"/>
        <v>1</v>
      </c>
      <c r="K38" s="51">
        <f t="shared" si="20"/>
        <v>1</v>
      </c>
      <c r="L38" s="46">
        <f t="shared" si="20"/>
        <v>7</v>
      </c>
      <c r="M38" s="46">
        <f t="shared" si="20"/>
        <v>7</v>
      </c>
      <c r="N38" s="46">
        <f t="shared" si="20"/>
        <v>6</v>
      </c>
      <c r="O38" s="46">
        <f t="shared" si="20"/>
        <v>5</v>
      </c>
      <c r="P38" s="46">
        <f t="shared" si="20"/>
        <v>5</v>
      </c>
      <c r="Q38" s="50">
        <f t="shared" si="20"/>
        <v>1</v>
      </c>
      <c r="R38" s="51">
        <f t="shared" si="20"/>
        <v>2</v>
      </c>
      <c r="S38" s="46">
        <f t="shared" si="20"/>
        <v>5</v>
      </c>
      <c r="T38" s="46">
        <f t="shared" si="20"/>
        <v>7</v>
      </c>
      <c r="U38" s="46">
        <f t="shared" si="20"/>
        <v>5</v>
      </c>
      <c r="V38" s="46">
        <f t="shared" si="20"/>
        <v>6</v>
      </c>
      <c r="W38" s="46">
        <f t="shared" si="20"/>
        <v>6</v>
      </c>
      <c r="X38" s="50">
        <f t="shared" si="20"/>
        <v>1</v>
      </c>
      <c r="Y38" s="51">
        <f t="shared" si="20"/>
        <v>1</v>
      </c>
      <c r="Z38" s="46">
        <f t="shared" si="20"/>
        <v>5</v>
      </c>
      <c r="AA38" s="46">
        <f t="shared" si="20"/>
        <v>7</v>
      </c>
      <c r="AB38" s="46">
        <f t="shared" si="20"/>
        <v>6</v>
      </c>
      <c r="AC38" s="46">
        <f t="shared" si="20"/>
        <v>4</v>
      </c>
      <c r="AD38" s="46">
        <f t="shared" si="20"/>
        <v>5</v>
      </c>
      <c r="AE38" s="50">
        <f t="shared" si="20"/>
        <v>1</v>
      </c>
      <c r="AF38" s="51">
        <f t="shared" si="20"/>
        <v>2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</row>
    <row r="39" spans="1:45" ht="12" customHeight="1">
      <c r="A39" s="45" t="s">
        <v>77</v>
      </c>
      <c r="B39" s="46"/>
      <c r="C39" s="50">
        <f t="shared" ref="C39:AF39" si="21">COUNTIF(C3:C26,"N")+COUNTIF(C3:C26,"N1")+COUNTIF(C3:C26,"N2")+COUNTIF(C3:C26,"N3")+COUNTIF(C3:C26,"N4")</f>
        <v>2</v>
      </c>
      <c r="D39" s="51">
        <f t="shared" si="21"/>
        <v>2</v>
      </c>
      <c r="E39" s="46">
        <f t="shared" si="21"/>
        <v>2</v>
      </c>
      <c r="F39" s="46">
        <f t="shared" si="21"/>
        <v>2</v>
      </c>
      <c r="G39" s="46">
        <f t="shared" si="21"/>
        <v>2</v>
      </c>
      <c r="H39" s="46">
        <f t="shared" si="21"/>
        <v>2</v>
      </c>
      <c r="I39" s="46">
        <f t="shared" si="21"/>
        <v>2</v>
      </c>
      <c r="J39" s="50">
        <f t="shared" si="21"/>
        <v>2</v>
      </c>
      <c r="K39" s="51">
        <f t="shared" si="21"/>
        <v>3</v>
      </c>
      <c r="L39" s="46">
        <f t="shared" si="21"/>
        <v>2</v>
      </c>
      <c r="M39" s="46">
        <f t="shared" si="21"/>
        <v>2</v>
      </c>
      <c r="N39" s="46">
        <f t="shared" si="21"/>
        <v>2</v>
      </c>
      <c r="O39" s="46">
        <f t="shared" si="21"/>
        <v>2</v>
      </c>
      <c r="P39" s="46">
        <f t="shared" si="21"/>
        <v>2</v>
      </c>
      <c r="Q39" s="50">
        <f t="shared" si="21"/>
        <v>2</v>
      </c>
      <c r="R39" s="51">
        <f t="shared" si="21"/>
        <v>2</v>
      </c>
      <c r="S39" s="46">
        <f t="shared" si="21"/>
        <v>2</v>
      </c>
      <c r="T39" s="46">
        <f t="shared" si="21"/>
        <v>2</v>
      </c>
      <c r="U39" s="46">
        <f t="shared" si="21"/>
        <v>2</v>
      </c>
      <c r="V39" s="46">
        <f t="shared" si="21"/>
        <v>2</v>
      </c>
      <c r="W39" s="46">
        <f t="shared" si="21"/>
        <v>3</v>
      </c>
      <c r="X39" s="50">
        <f t="shared" si="21"/>
        <v>2</v>
      </c>
      <c r="Y39" s="51">
        <f t="shared" si="21"/>
        <v>3</v>
      </c>
      <c r="Z39" s="46">
        <f t="shared" si="21"/>
        <v>2</v>
      </c>
      <c r="AA39" s="46">
        <f t="shared" si="21"/>
        <v>2</v>
      </c>
      <c r="AB39" s="46">
        <f t="shared" si="21"/>
        <v>2</v>
      </c>
      <c r="AC39" s="46">
        <f t="shared" si="21"/>
        <v>2</v>
      </c>
      <c r="AD39" s="46">
        <f t="shared" si="21"/>
        <v>4</v>
      </c>
      <c r="AE39" s="50">
        <f t="shared" si="21"/>
        <v>2</v>
      </c>
      <c r="AF39" s="51">
        <f t="shared" si="21"/>
        <v>3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</row>
    <row r="40" spans="1:45" ht="12" customHeight="1">
      <c r="A40" s="46" t="s">
        <v>78</v>
      </c>
      <c r="B40" s="46"/>
      <c r="C40" s="50">
        <f>SUM(C36:C39)</f>
        <v>9</v>
      </c>
      <c r="D40" s="51">
        <f t="shared" ref="D40:AF40" si="22">SUM(D36:D39)</f>
        <v>10</v>
      </c>
      <c r="E40" s="46">
        <f t="shared" si="22"/>
        <v>16</v>
      </c>
      <c r="F40" s="46">
        <f t="shared" si="22"/>
        <v>14</v>
      </c>
      <c r="G40" s="46">
        <f t="shared" si="22"/>
        <v>14</v>
      </c>
      <c r="H40" s="46">
        <f t="shared" si="22"/>
        <v>13</v>
      </c>
      <c r="I40" s="46">
        <f t="shared" si="22"/>
        <v>12</v>
      </c>
      <c r="J40" s="50">
        <f t="shared" si="22"/>
        <v>9</v>
      </c>
      <c r="K40" s="51">
        <f t="shared" si="22"/>
        <v>10</v>
      </c>
      <c r="L40" s="46">
        <f t="shared" si="22"/>
        <v>15</v>
      </c>
      <c r="M40" s="46">
        <f t="shared" si="22"/>
        <v>15</v>
      </c>
      <c r="N40" s="46">
        <f t="shared" si="22"/>
        <v>15</v>
      </c>
      <c r="O40" s="46">
        <f t="shared" si="22"/>
        <v>13</v>
      </c>
      <c r="P40" s="46">
        <f t="shared" si="22"/>
        <v>14</v>
      </c>
      <c r="Q40" s="50">
        <f t="shared" si="22"/>
        <v>10</v>
      </c>
      <c r="R40" s="51">
        <f t="shared" si="22"/>
        <v>10</v>
      </c>
      <c r="S40" s="46">
        <f t="shared" si="22"/>
        <v>13</v>
      </c>
      <c r="T40" s="46">
        <f t="shared" si="22"/>
        <v>16</v>
      </c>
      <c r="U40" s="46">
        <f t="shared" si="22"/>
        <v>14</v>
      </c>
      <c r="V40" s="46">
        <f t="shared" si="22"/>
        <v>15</v>
      </c>
      <c r="W40" s="46">
        <f t="shared" si="22"/>
        <v>16</v>
      </c>
      <c r="X40" s="50">
        <f t="shared" si="22"/>
        <v>9</v>
      </c>
      <c r="Y40" s="51">
        <f>SUM(Y36:Y39)</f>
        <v>10</v>
      </c>
      <c r="Z40" s="46">
        <f t="shared" si="22"/>
        <v>13</v>
      </c>
      <c r="AA40" s="46">
        <f t="shared" si="22"/>
        <v>16</v>
      </c>
      <c r="AB40" s="46">
        <f t="shared" si="22"/>
        <v>15</v>
      </c>
      <c r="AC40" s="46">
        <f t="shared" si="22"/>
        <v>14</v>
      </c>
      <c r="AD40" s="46">
        <f t="shared" si="22"/>
        <v>15</v>
      </c>
      <c r="AE40" s="50">
        <f t="shared" si="22"/>
        <v>9</v>
      </c>
      <c r="AF40" s="51">
        <f t="shared" si="22"/>
        <v>11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</row>
    <row r="41" spans="1:45" ht="1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spans="1:45" ht="1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spans="1:45" ht="1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spans="1:45" ht="1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spans="1:45" ht="1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spans="1:45" ht="1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spans="1:45" ht="1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  <row r="48" spans="1:45" ht="1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</row>
    <row r="49" spans="1:45" ht="1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</row>
    <row r="50" spans="1:45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</row>
    <row r="51" spans="1:45" ht="1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</row>
    <row r="52" spans="1:45" ht="1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</row>
    <row r="53" spans="1:45" ht="1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</row>
    <row r="54" spans="1:45" ht="1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</row>
    <row r="55" spans="1:45" ht="1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</row>
    <row r="56" spans="1:45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</row>
    <row r="57" spans="1:45" ht="1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</row>
    <row r="58" spans="1:45" ht="1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</row>
    <row r="59" spans="1:45" ht="1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</row>
    <row r="60" spans="1:45" ht="1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</row>
    <row r="61" spans="1:45" ht="1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</row>
    <row r="62" spans="1:45" ht="1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</row>
    <row r="63" spans="1:45" ht="1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</row>
    <row r="64" spans="1:45" ht="1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</row>
    <row r="65" spans="1:45" ht="1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</row>
    <row r="66" spans="1:45" ht="1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</row>
    <row r="67" spans="1:45" ht="1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</row>
    <row r="68" spans="1:45" ht="1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</row>
    <row r="69" spans="1:45" ht="1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</row>
    <row r="70" spans="1:45" ht="1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</row>
    <row r="71" spans="1:45" ht="1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</row>
    <row r="72" spans="1:45" ht="1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</row>
    <row r="73" spans="1:45" ht="1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</row>
    <row r="74" spans="1:45" ht="1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</row>
    <row r="75" spans="1:45" ht="1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</row>
    <row r="76" spans="1:45" ht="1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</row>
    <row r="77" spans="1:45" ht="1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</row>
    <row r="78" spans="1:45" ht="1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</row>
    <row r="79" spans="1:45" ht="1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</row>
  </sheetData>
  <mergeCells count="28">
    <mergeCell ref="AM30:AR30"/>
    <mergeCell ref="A31:AS33"/>
    <mergeCell ref="AP4:AP6"/>
    <mergeCell ref="AQ4:AQ6"/>
    <mergeCell ref="AR4:AR6"/>
    <mergeCell ref="AS4:AS6"/>
    <mergeCell ref="A8:A26"/>
    <mergeCell ref="AR28:AS29"/>
    <mergeCell ref="AJ4:AJ6"/>
    <mergeCell ref="AK4:AK6"/>
    <mergeCell ref="AL4:AL6"/>
    <mergeCell ref="AM4:AM6"/>
    <mergeCell ref="AN4:AN6"/>
    <mergeCell ref="AO4:AO6"/>
    <mergeCell ref="A4:A6"/>
    <mergeCell ref="B4:B6"/>
    <mergeCell ref="F4:G4"/>
    <mergeCell ref="AG4:AG6"/>
    <mergeCell ref="AH4:AH6"/>
    <mergeCell ref="AI4:AI6"/>
    <mergeCell ref="A1:AS1"/>
    <mergeCell ref="A2:A3"/>
    <mergeCell ref="AG2:AN2"/>
    <mergeCell ref="AO2:AO3"/>
    <mergeCell ref="AP2:AP3"/>
    <mergeCell ref="AQ2:AQ3"/>
    <mergeCell ref="AR2:AR3"/>
    <mergeCell ref="AS2:AS3"/>
  </mergeCells>
  <phoneticPr fontId="2" type="noConversion"/>
  <conditionalFormatting sqref="AG7:AN27">
    <cfRule type="cellIs" dxfId="2" priority="1" stopIfTrue="1" operator="equal">
      <formula>"N"</formula>
    </cfRule>
  </conditionalFormatting>
  <printOptions horizontalCentered="1" verticalCentered="1"/>
  <pageMargins left="0.25979166666666664" right="0.39347222447395325" top="9.6250000000000002E-2" bottom="0.27541667222976685" header="0" footer="0"/>
  <pageSetup paperSize="9" scale="5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06EEB-C398-42D4-B081-64ACF51B2B4A}">
  <sheetPr>
    <pageSetUpPr fitToPage="1"/>
  </sheetPr>
  <dimension ref="A1:CR79"/>
  <sheetViews>
    <sheetView showGridLines="0" view="pageLayout" topLeftCell="A5" zoomScale="85" zoomScaleNormal="100" zoomScalePageLayoutView="85" workbookViewId="0">
      <selection activeCell="X8" sqref="X8"/>
    </sheetView>
  </sheetViews>
  <sheetFormatPr defaultColWidth="1.125" defaultRowHeight="15" customHeight="1"/>
  <cols>
    <col min="1" max="1" width="10.375" customWidth="1"/>
    <col min="2" max="2" width="7" customWidth="1"/>
    <col min="3" max="20" width="4.5" customWidth="1"/>
    <col min="21" max="21" width="4.625" customWidth="1"/>
    <col min="22" max="33" width="4.5" customWidth="1"/>
    <col min="34" max="37" width="3.625" customWidth="1"/>
    <col min="38" max="38" width="4.125" customWidth="1"/>
    <col min="39" max="41" width="3.625" customWidth="1"/>
    <col min="42" max="42" width="4.25" customWidth="1"/>
    <col min="43" max="43" width="6.625" bestFit="1" customWidth="1"/>
    <col min="44" max="44" width="5.75" customWidth="1"/>
    <col min="45" max="45" width="4.25" customWidth="1"/>
    <col min="46" max="46" width="5.625" customWidth="1"/>
    <col min="55" max="55" width="27.75" bestFit="1" customWidth="1"/>
    <col min="56" max="56" width="26.5" bestFit="1" customWidth="1"/>
  </cols>
  <sheetData>
    <row r="1" spans="1:96" ht="33" customHeight="1" thickBot="1">
      <c r="A1" s="709" t="s">
        <v>79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R1" s="710"/>
      <c r="S1" s="710"/>
      <c r="T1" s="710"/>
      <c r="U1" s="710"/>
      <c r="V1" s="710"/>
      <c r="W1" s="710"/>
      <c r="X1" s="710"/>
      <c r="Y1" s="710"/>
      <c r="Z1" s="710"/>
      <c r="AA1" s="710"/>
      <c r="AB1" s="710"/>
      <c r="AC1" s="710"/>
      <c r="AD1" s="710"/>
      <c r="AE1" s="710"/>
      <c r="AF1" s="710"/>
      <c r="AG1" s="710"/>
      <c r="AH1" s="709"/>
      <c r="AI1" s="709"/>
      <c r="AJ1" s="709"/>
      <c r="AK1" s="709"/>
      <c r="AL1" s="709"/>
      <c r="AM1" s="709"/>
      <c r="AN1" s="709"/>
      <c r="AO1" s="709"/>
      <c r="AP1" s="709"/>
      <c r="AQ1" s="709"/>
      <c r="AR1" s="709"/>
      <c r="AS1" s="709"/>
      <c r="AT1" s="709"/>
    </row>
    <row r="2" spans="1:96" ht="21.75" customHeight="1" thickBot="1">
      <c r="A2" s="711" t="s">
        <v>1</v>
      </c>
      <c r="B2" s="74" t="s">
        <v>2</v>
      </c>
      <c r="C2" s="327">
        <v>1</v>
      </c>
      <c r="D2" s="328">
        <v>2</v>
      </c>
      <c r="E2" s="328">
        <v>3</v>
      </c>
      <c r="F2" s="328">
        <v>4</v>
      </c>
      <c r="G2" s="328">
        <v>5</v>
      </c>
      <c r="H2" s="329">
        <v>6</v>
      </c>
      <c r="I2" s="330">
        <v>7</v>
      </c>
      <c r="J2" s="327">
        <v>8</v>
      </c>
      <c r="K2" s="328">
        <v>9</v>
      </c>
      <c r="L2" s="328">
        <v>10</v>
      </c>
      <c r="M2" s="328">
        <v>11</v>
      </c>
      <c r="N2" s="328">
        <v>12</v>
      </c>
      <c r="O2" s="329">
        <v>13</v>
      </c>
      <c r="P2" s="330">
        <v>14</v>
      </c>
      <c r="Q2" s="327">
        <v>15</v>
      </c>
      <c r="R2" s="328">
        <v>16</v>
      </c>
      <c r="S2" s="328">
        <v>17</v>
      </c>
      <c r="T2" s="328">
        <v>18</v>
      </c>
      <c r="U2" s="328">
        <v>19</v>
      </c>
      <c r="V2" s="329">
        <v>20</v>
      </c>
      <c r="W2" s="330">
        <v>21</v>
      </c>
      <c r="X2" s="327">
        <v>22</v>
      </c>
      <c r="Y2" s="328">
        <v>23</v>
      </c>
      <c r="Z2" s="328">
        <v>24</v>
      </c>
      <c r="AA2" s="344">
        <v>25</v>
      </c>
      <c r="AB2" s="328">
        <v>26</v>
      </c>
      <c r="AC2" s="329">
        <v>27</v>
      </c>
      <c r="AD2" s="330">
        <v>28</v>
      </c>
      <c r="AE2" s="352">
        <v>29</v>
      </c>
      <c r="AF2" s="353">
        <v>30</v>
      </c>
      <c r="AG2" s="354">
        <v>31</v>
      </c>
      <c r="AH2" s="713" t="s">
        <v>3</v>
      </c>
      <c r="AI2" s="714"/>
      <c r="AJ2" s="714"/>
      <c r="AK2" s="714"/>
      <c r="AL2" s="714"/>
      <c r="AM2" s="714"/>
      <c r="AN2" s="714"/>
      <c r="AO2" s="715"/>
      <c r="AP2" s="716" t="s">
        <v>4</v>
      </c>
      <c r="AQ2" s="718" t="s">
        <v>5</v>
      </c>
      <c r="AR2" s="718" t="s">
        <v>6</v>
      </c>
      <c r="AS2" s="718" t="s">
        <v>7</v>
      </c>
      <c r="AT2" s="720" t="s">
        <v>8</v>
      </c>
    </row>
    <row r="3" spans="1:96" ht="22.5" customHeight="1" thickBot="1">
      <c r="A3" s="712"/>
      <c r="B3" s="75" t="s">
        <v>9</v>
      </c>
      <c r="C3" s="355" t="s">
        <v>80</v>
      </c>
      <c r="D3" s="356" t="s">
        <v>81</v>
      </c>
      <c r="E3" s="356" t="s">
        <v>82</v>
      </c>
      <c r="F3" s="356" t="s">
        <v>83</v>
      </c>
      <c r="G3" s="356" t="s">
        <v>84</v>
      </c>
      <c r="H3" s="357" t="s">
        <v>85</v>
      </c>
      <c r="I3" s="358" t="s">
        <v>86</v>
      </c>
      <c r="J3" s="355" t="s">
        <v>12</v>
      </c>
      <c r="K3" s="356" t="s">
        <v>13</v>
      </c>
      <c r="L3" s="356" t="s">
        <v>14</v>
      </c>
      <c r="M3" s="356" t="s">
        <v>15</v>
      </c>
      <c r="N3" s="356" t="s">
        <v>16</v>
      </c>
      <c r="O3" s="357" t="s">
        <v>10</v>
      </c>
      <c r="P3" s="358" t="s">
        <v>11</v>
      </c>
      <c r="Q3" s="355" t="s">
        <v>12</v>
      </c>
      <c r="R3" s="356" t="s">
        <v>13</v>
      </c>
      <c r="S3" s="356" t="s">
        <v>14</v>
      </c>
      <c r="T3" s="356" t="s">
        <v>15</v>
      </c>
      <c r="U3" s="356" t="s">
        <v>16</v>
      </c>
      <c r="V3" s="357" t="s">
        <v>10</v>
      </c>
      <c r="W3" s="358" t="s">
        <v>11</v>
      </c>
      <c r="X3" s="355" t="s">
        <v>12</v>
      </c>
      <c r="Y3" s="356" t="s">
        <v>13</v>
      </c>
      <c r="Z3" s="356" t="s">
        <v>14</v>
      </c>
      <c r="AA3" s="359" t="s">
        <v>15</v>
      </c>
      <c r="AB3" s="356" t="s">
        <v>16</v>
      </c>
      <c r="AC3" s="357" t="s">
        <v>10</v>
      </c>
      <c r="AD3" s="358" t="s">
        <v>11</v>
      </c>
      <c r="AE3" s="360" t="s">
        <v>12</v>
      </c>
      <c r="AF3" s="356" t="s">
        <v>13</v>
      </c>
      <c r="AG3" s="361" t="s">
        <v>14</v>
      </c>
      <c r="AH3" s="3" t="s">
        <v>17</v>
      </c>
      <c r="AI3" s="73" t="s">
        <v>18</v>
      </c>
      <c r="AJ3" s="73" t="s">
        <v>19</v>
      </c>
      <c r="AK3" s="73" t="s">
        <v>20</v>
      </c>
      <c r="AL3" s="4" t="s">
        <v>21</v>
      </c>
      <c r="AM3" s="4" t="s">
        <v>22</v>
      </c>
      <c r="AN3" s="4" t="s">
        <v>23</v>
      </c>
      <c r="AO3" s="5" t="s">
        <v>24</v>
      </c>
      <c r="AP3" s="717"/>
      <c r="AQ3" s="719"/>
      <c r="AR3" s="719"/>
      <c r="AS3" s="719"/>
      <c r="AT3" s="721"/>
    </row>
    <row r="4" spans="1:96" ht="28.5" customHeight="1">
      <c r="A4" s="738" t="s">
        <v>87</v>
      </c>
      <c r="B4" s="741" t="s">
        <v>26</v>
      </c>
      <c r="C4" s="365"/>
      <c r="D4" s="744" t="s">
        <v>88</v>
      </c>
      <c r="E4" s="350"/>
      <c r="F4" s="346" t="s">
        <v>89</v>
      </c>
      <c r="G4" s="746" t="s">
        <v>90</v>
      </c>
      <c r="H4" s="748" t="s">
        <v>91</v>
      </c>
      <c r="I4" s="366"/>
      <c r="J4" s="365"/>
      <c r="K4" s="367"/>
      <c r="L4" s="350"/>
      <c r="M4" s="350"/>
      <c r="N4" s="350"/>
      <c r="O4" s="348"/>
      <c r="P4" s="366"/>
      <c r="Q4" s="349"/>
      <c r="R4" s="744" t="s">
        <v>92</v>
      </c>
      <c r="S4" s="350"/>
      <c r="T4" s="350"/>
      <c r="U4" s="350"/>
      <c r="V4" s="347"/>
      <c r="W4" s="366"/>
      <c r="X4" s="750" t="s">
        <v>93</v>
      </c>
      <c r="Y4" s="368"/>
      <c r="Z4" s="350"/>
      <c r="AA4" s="364" t="s">
        <v>94</v>
      </c>
      <c r="AB4" s="367"/>
      <c r="AC4" s="348"/>
      <c r="AD4" s="351"/>
      <c r="AE4" s="362"/>
      <c r="AF4" s="369"/>
      <c r="AG4" s="370"/>
      <c r="AH4" s="704" t="s">
        <v>31</v>
      </c>
      <c r="AI4" s="707" t="s">
        <v>31</v>
      </c>
      <c r="AJ4" s="707" t="s">
        <v>31</v>
      </c>
      <c r="AK4" s="707" t="s">
        <v>31</v>
      </c>
      <c r="AL4" s="704" t="s">
        <v>31</v>
      </c>
      <c r="AM4" s="704" t="s">
        <v>31</v>
      </c>
      <c r="AN4" s="704" t="s">
        <v>31</v>
      </c>
      <c r="AO4" s="704" t="s">
        <v>31</v>
      </c>
      <c r="AP4" s="735">
        <v>176</v>
      </c>
      <c r="AQ4" s="724"/>
      <c r="AR4" s="727" t="s">
        <v>32</v>
      </c>
      <c r="AS4" s="727"/>
      <c r="AT4" s="729"/>
    </row>
    <row r="5" spans="1:96" ht="28.5" customHeight="1">
      <c r="A5" s="739"/>
      <c r="B5" s="742"/>
      <c r="C5" s="371"/>
      <c r="D5" s="745"/>
      <c r="E5" s="315"/>
      <c r="F5" s="315"/>
      <c r="G5" s="747"/>
      <c r="H5" s="749"/>
      <c r="I5" s="331"/>
      <c r="J5" s="371"/>
      <c r="K5" s="105"/>
      <c r="L5" s="315"/>
      <c r="M5" s="315"/>
      <c r="N5" s="105"/>
      <c r="O5" s="136"/>
      <c r="P5" s="331"/>
      <c r="Q5" s="341"/>
      <c r="R5" s="745"/>
      <c r="S5" s="315"/>
      <c r="T5" s="105"/>
      <c r="U5" s="315"/>
      <c r="V5" s="363"/>
      <c r="W5" s="752" t="s">
        <v>95</v>
      </c>
      <c r="X5" s="751"/>
      <c r="Y5" s="372"/>
      <c r="Z5" s="315"/>
      <c r="AA5" s="159"/>
      <c r="AB5" s="105"/>
      <c r="AC5" s="136"/>
      <c r="AD5" s="331"/>
      <c r="AE5" s="373"/>
      <c r="AF5" s="374"/>
      <c r="AG5" s="375"/>
      <c r="AH5" s="705"/>
      <c r="AI5" s="708"/>
      <c r="AJ5" s="708"/>
      <c r="AK5" s="708"/>
      <c r="AL5" s="705"/>
      <c r="AM5" s="705"/>
      <c r="AN5" s="705"/>
      <c r="AO5" s="705"/>
      <c r="AP5" s="736"/>
      <c r="AQ5" s="725"/>
      <c r="AR5" s="728"/>
      <c r="AS5" s="728"/>
      <c r="AT5" s="730"/>
    </row>
    <row r="6" spans="1:96" ht="26.25" customHeight="1" thickBot="1">
      <c r="A6" s="740"/>
      <c r="B6" s="743"/>
      <c r="C6" s="376"/>
      <c r="D6" s="377"/>
      <c r="E6" s="377"/>
      <c r="F6" s="377"/>
      <c r="G6" s="377"/>
      <c r="H6" s="378"/>
      <c r="I6" s="379"/>
      <c r="J6" s="380"/>
      <c r="K6" s="381"/>
      <c r="L6" s="377"/>
      <c r="M6" s="377"/>
      <c r="N6" s="382"/>
      <c r="O6" s="378"/>
      <c r="P6" s="383"/>
      <c r="Q6" s="380"/>
      <c r="R6" s="377"/>
      <c r="S6" s="377"/>
      <c r="T6" s="382"/>
      <c r="U6" s="377"/>
      <c r="V6" s="384"/>
      <c r="W6" s="753"/>
      <c r="X6" s="385"/>
      <c r="Y6" s="377"/>
      <c r="Z6" s="377"/>
      <c r="AA6" s="386"/>
      <c r="AB6" s="377"/>
      <c r="AC6" s="384"/>
      <c r="AD6" s="379"/>
      <c r="AE6" s="387"/>
      <c r="AF6" s="388"/>
      <c r="AG6" s="389"/>
      <c r="AH6" s="706"/>
      <c r="AI6" s="706"/>
      <c r="AJ6" s="706"/>
      <c r="AK6" s="706"/>
      <c r="AL6" s="706"/>
      <c r="AM6" s="706"/>
      <c r="AN6" s="706"/>
      <c r="AO6" s="706"/>
      <c r="AP6" s="737"/>
      <c r="AQ6" s="726"/>
      <c r="AR6" s="726"/>
      <c r="AS6" s="726"/>
      <c r="AT6" s="731"/>
    </row>
    <row r="7" spans="1:96" ht="26.25" hidden="1" customHeight="1">
      <c r="A7" s="94"/>
      <c r="B7" s="95" t="s">
        <v>33</v>
      </c>
      <c r="C7" s="332"/>
      <c r="D7" s="114"/>
      <c r="E7" s="115"/>
      <c r="F7" s="115"/>
      <c r="G7" s="115"/>
      <c r="H7" s="131"/>
      <c r="I7" s="333"/>
      <c r="J7" s="340"/>
      <c r="K7" s="316"/>
      <c r="L7" s="115"/>
      <c r="M7" s="115"/>
      <c r="N7" s="115"/>
      <c r="O7" s="318"/>
      <c r="P7" s="333"/>
      <c r="Q7" s="340"/>
      <c r="R7" s="115"/>
      <c r="S7" s="115"/>
      <c r="T7" s="115"/>
      <c r="U7" s="115"/>
      <c r="V7" s="318"/>
      <c r="W7" s="333"/>
      <c r="X7" s="332"/>
      <c r="Y7" s="115"/>
      <c r="Z7" s="115"/>
      <c r="AA7" s="160"/>
      <c r="AB7" s="115"/>
      <c r="AC7" s="131"/>
      <c r="AD7" s="333"/>
      <c r="AE7" s="325"/>
      <c r="AF7" s="115"/>
      <c r="AG7" s="115"/>
      <c r="AH7" s="6">
        <f t="shared" ref="AH7:AH26" si="0">COUNTIF(C7:AG7,"A")+COUNTIF(C7:AG7,"A1")+COUNTIF(C7:AG7,"A2")+COUNTIF(C7:AG7,"A3")+COUNTIF(C7:AG7,"A4")</f>
        <v>0</v>
      </c>
      <c r="AI7" s="7">
        <f t="shared" ref="AI7:AI26" si="1">COUNTIF(C7:AG7,"B")+COUNTIF(C7:AG7,"B1")+COUNTIF(C7:AG7,"B2")+COUNTIF(C7:AG7,"B3")+COUNTIF(C7:AG7,"B4")</f>
        <v>0</v>
      </c>
      <c r="AJ7" s="47">
        <f t="shared" ref="AJ7:AJ26" si="2">COUNTIF(C7:AG7,"C")+COUNTIF(C7:AG7,"C1")+COUNTIF(C7:AG7,"C2")+COUNTIF(C7:AG7,"C3")+COUNTIF(C7:AG7,"C4")</f>
        <v>0</v>
      </c>
      <c r="AK7" s="7">
        <f t="shared" ref="AK7:AK26" si="3">COUNTIF(C7:AG7,"N")+COUNTIF(C7:AG7,"N1")</f>
        <v>0</v>
      </c>
      <c r="AL7" s="47">
        <f t="shared" ref="AL7:AL26" si="4">COUNTIF(C7:AG7,"대휴")</f>
        <v>0</v>
      </c>
      <c r="AM7" s="7">
        <f t="shared" ref="AM7:AM26" si="5">COUNTIF(C7:AG7,"주휴")</f>
        <v>0</v>
      </c>
      <c r="AN7" s="7">
        <f t="shared" ref="AN7:AN16" si="6">COUNTIF(C7:AG7,"")</f>
        <v>31</v>
      </c>
      <c r="AO7" s="8">
        <f t="shared" ref="AO7:AO26" si="7">COUNTIF(C7:AG7,"휴가")</f>
        <v>0</v>
      </c>
      <c r="AP7" s="9">
        <f>(AH7*8)+(AI7*8)+(AJ7*8)+(AK7*8)+(AO7*8)+6</f>
        <v>6</v>
      </c>
      <c r="AQ7" s="10">
        <f>SUM(AP7-$AP$4)</f>
        <v>-170</v>
      </c>
      <c r="AR7" s="10">
        <f t="shared" ref="AR7:AR9" si="8">(AK7*3)</f>
        <v>0</v>
      </c>
      <c r="AS7" s="10"/>
      <c r="AT7" s="11">
        <f t="shared" ref="AT7:AT9" si="9">SUM(AQ7:AS7)</f>
        <v>-170</v>
      </c>
    </row>
    <row r="8" spans="1:96" ht="26.25" customHeight="1" thickBot="1">
      <c r="A8" s="732" t="s">
        <v>34</v>
      </c>
      <c r="B8" s="76" t="s">
        <v>35</v>
      </c>
      <c r="C8" s="334" t="s">
        <v>44</v>
      </c>
      <c r="D8" s="281" t="s">
        <v>51</v>
      </c>
      <c r="E8" s="281" t="s">
        <v>44</v>
      </c>
      <c r="F8" s="282" t="s">
        <v>44</v>
      </c>
      <c r="G8" s="259" t="s">
        <v>39</v>
      </c>
      <c r="H8" s="390" t="s">
        <v>96</v>
      </c>
      <c r="I8" s="335" t="s">
        <v>22</v>
      </c>
      <c r="J8" s="540" t="s">
        <v>39</v>
      </c>
      <c r="K8" s="282" t="s">
        <v>44</v>
      </c>
      <c r="L8" s="282" t="s">
        <v>44</v>
      </c>
      <c r="M8" s="281" t="s">
        <v>44</v>
      </c>
      <c r="N8" s="281" t="s">
        <v>44</v>
      </c>
      <c r="O8" s="283" t="s">
        <v>22</v>
      </c>
      <c r="P8" s="391" t="s">
        <v>96</v>
      </c>
      <c r="Q8" s="342"/>
      <c r="R8" s="509" t="s">
        <v>44</v>
      </c>
      <c r="S8" s="487" t="s">
        <v>39</v>
      </c>
      <c r="T8" s="289" t="s">
        <v>44</v>
      </c>
      <c r="U8" s="281" t="s">
        <v>51</v>
      </c>
      <c r="V8" s="283"/>
      <c r="W8" s="343" t="s">
        <v>22</v>
      </c>
      <c r="X8" s="540" t="s">
        <v>39</v>
      </c>
      <c r="Y8" s="281" t="s">
        <v>44</v>
      </c>
      <c r="Z8" s="281" t="s">
        <v>44</v>
      </c>
      <c r="AA8" s="280"/>
      <c r="AB8" s="281" t="s">
        <v>51</v>
      </c>
      <c r="AC8" s="390" t="s">
        <v>96</v>
      </c>
      <c r="AD8" s="343" t="s">
        <v>22</v>
      </c>
      <c r="AE8" s="289" t="s">
        <v>44</v>
      </c>
      <c r="AF8" s="285" t="s">
        <v>44</v>
      </c>
      <c r="AG8" s="533" t="s">
        <v>39</v>
      </c>
      <c r="AH8" s="6">
        <f>COUNTIF(C8:AG8,"A")+COUNTIF(C8:AG8,"A1")+COUNTIF(C8:AG8,"A2")+COUNTIF(C8:AG8,"A3")+COUNTIF(C8:AG8,"A4")</f>
        <v>5</v>
      </c>
      <c r="AI8" s="7">
        <f t="shared" si="1"/>
        <v>3</v>
      </c>
      <c r="AJ8" s="47">
        <f t="shared" si="2"/>
        <v>13</v>
      </c>
      <c r="AK8" s="7">
        <f t="shared" si="3"/>
        <v>3</v>
      </c>
      <c r="AL8" s="47">
        <f t="shared" si="4"/>
        <v>0</v>
      </c>
      <c r="AM8" s="7">
        <f t="shared" si="5"/>
        <v>4</v>
      </c>
      <c r="AN8" s="7">
        <f t="shared" si="6"/>
        <v>3</v>
      </c>
      <c r="AO8" s="8">
        <f t="shared" si="7"/>
        <v>0</v>
      </c>
      <c r="AP8" s="305">
        <f>(AH8*8)+(AI8*8)+(AJ8*8)+(AK8*8)+(AO8*8)+10</f>
        <v>202</v>
      </c>
      <c r="AQ8" s="306">
        <f>SUM(AP8-$AP$4)</f>
        <v>26</v>
      </c>
      <c r="AR8" s="306">
        <f t="shared" si="8"/>
        <v>9</v>
      </c>
      <c r="AS8" s="306"/>
      <c r="AT8" s="307">
        <f t="shared" si="9"/>
        <v>35</v>
      </c>
      <c r="AU8" s="43"/>
    </row>
    <row r="9" spans="1:96" ht="26.25" customHeight="1" thickBot="1">
      <c r="A9" s="733"/>
      <c r="B9" s="88" t="s">
        <v>38</v>
      </c>
      <c r="C9" s="483"/>
      <c r="D9" s="510" t="s">
        <v>39</v>
      </c>
      <c r="E9" s="393" t="s">
        <v>51</v>
      </c>
      <c r="F9" s="491" t="s">
        <v>96</v>
      </c>
      <c r="G9" s="393"/>
      <c r="H9" s="394" t="s">
        <v>22</v>
      </c>
      <c r="I9" s="395" t="s">
        <v>44</v>
      </c>
      <c r="J9" s="396" t="s">
        <v>44</v>
      </c>
      <c r="K9" s="393" t="s">
        <v>43</v>
      </c>
      <c r="L9" s="511" t="s">
        <v>39</v>
      </c>
      <c r="M9" s="392" t="s">
        <v>51</v>
      </c>
      <c r="N9" s="491" t="s">
        <v>96</v>
      </c>
      <c r="O9" s="527" t="s">
        <v>22</v>
      </c>
      <c r="P9" s="528" t="s">
        <v>44</v>
      </c>
      <c r="Q9" s="397" t="s">
        <v>44</v>
      </c>
      <c r="R9" s="398" t="s">
        <v>44</v>
      </c>
      <c r="S9" s="399" t="s">
        <v>44</v>
      </c>
      <c r="T9" s="478" t="s">
        <v>39</v>
      </c>
      <c r="U9" s="393" t="s">
        <v>44</v>
      </c>
      <c r="V9" s="394" t="s">
        <v>22</v>
      </c>
      <c r="W9" s="395" t="s">
        <v>51</v>
      </c>
      <c r="X9" s="481" t="s">
        <v>96</v>
      </c>
      <c r="Y9" s="393"/>
      <c r="Z9" s="400" t="s">
        <v>44</v>
      </c>
      <c r="AA9" s="531" t="s">
        <v>37</v>
      </c>
      <c r="AB9" s="532" t="s">
        <v>37</v>
      </c>
      <c r="AC9" s="530" t="s">
        <v>44</v>
      </c>
      <c r="AD9" s="395" t="s">
        <v>22</v>
      </c>
      <c r="AE9" s="399" t="s">
        <v>44</v>
      </c>
      <c r="AF9" s="512" t="s">
        <v>39</v>
      </c>
      <c r="AG9" s="482" t="s">
        <v>96</v>
      </c>
      <c r="AH9" s="65">
        <f t="shared" si="0"/>
        <v>5</v>
      </c>
      <c r="AI9" s="67">
        <f t="shared" si="1"/>
        <v>3</v>
      </c>
      <c r="AJ9" s="66">
        <f t="shared" si="2"/>
        <v>10</v>
      </c>
      <c r="AK9" s="67">
        <f t="shared" si="3"/>
        <v>4</v>
      </c>
      <c r="AL9" s="66">
        <f t="shared" si="4"/>
        <v>0</v>
      </c>
      <c r="AM9" s="67">
        <f t="shared" si="5"/>
        <v>4</v>
      </c>
      <c r="AN9" s="67">
        <f t="shared" si="6"/>
        <v>3</v>
      </c>
      <c r="AO9" s="68">
        <f t="shared" si="7"/>
        <v>2</v>
      </c>
      <c r="AP9" s="297">
        <f>(AH9*8)+(AI9*8)+(AJ9*8)+(AK9*8)+(AO9*8)+8</f>
        <v>200</v>
      </c>
      <c r="AQ9" s="77">
        <f t="shared" ref="AQ9:AQ17" si="10">SUM(AP9-$AP$4)</f>
        <v>24</v>
      </c>
      <c r="AR9" s="77">
        <f t="shared" si="8"/>
        <v>12</v>
      </c>
      <c r="AS9" s="77"/>
      <c r="AT9" s="78">
        <f t="shared" si="9"/>
        <v>36</v>
      </c>
      <c r="AU9" s="87"/>
    </row>
    <row r="10" spans="1:96" ht="26.25" customHeight="1" thickBot="1">
      <c r="A10" s="733"/>
      <c r="B10" s="89" t="s">
        <v>40</v>
      </c>
      <c r="C10" s="401" t="s">
        <v>43</v>
      </c>
      <c r="D10" s="402" t="s">
        <v>43</v>
      </c>
      <c r="E10" s="402" t="s">
        <v>44</v>
      </c>
      <c r="F10" s="402" t="s">
        <v>51</v>
      </c>
      <c r="G10" s="492" t="s">
        <v>96</v>
      </c>
      <c r="H10" s="403"/>
      <c r="I10" s="404" t="s">
        <v>22</v>
      </c>
      <c r="J10" s="405" t="s">
        <v>44</v>
      </c>
      <c r="K10" s="406" t="s">
        <v>44</v>
      </c>
      <c r="L10" s="402" t="s">
        <v>44</v>
      </c>
      <c r="M10" s="407" t="s">
        <v>44</v>
      </c>
      <c r="N10" s="406" t="s">
        <v>44</v>
      </c>
      <c r="O10" s="529" t="s">
        <v>37</v>
      </c>
      <c r="P10" s="525" t="s">
        <v>37</v>
      </c>
      <c r="Q10" s="405" t="s">
        <v>43</v>
      </c>
      <c r="R10" s="402" t="s">
        <v>43</v>
      </c>
      <c r="S10" s="407" t="s">
        <v>51</v>
      </c>
      <c r="T10" s="492" t="s">
        <v>96</v>
      </c>
      <c r="U10" s="402" t="s">
        <v>22</v>
      </c>
      <c r="V10" s="403" t="s">
        <v>22</v>
      </c>
      <c r="W10" s="404" t="s">
        <v>44</v>
      </c>
      <c r="X10" s="405" t="s">
        <v>43</v>
      </c>
      <c r="Y10" s="402" t="s">
        <v>43</v>
      </c>
      <c r="Z10" s="402" t="s">
        <v>51</v>
      </c>
      <c r="AA10" s="495" t="s">
        <v>96</v>
      </c>
      <c r="AB10" s="412" t="s">
        <v>21</v>
      </c>
      <c r="AC10" s="403" t="s">
        <v>22</v>
      </c>
      <c r="AD10" s="404" t="s">
        <v>43</v>
      </c>
      <c r="AE10" s="486" t="s">
        <v>43</v>
      </c>
      <c r="AF10" s="406" t="s">
        <v>51</v>
      </c>
      <c r="AG10" s="500" t="s">
        <v>96</v>
      </c>
      <c r="AH10" s="12">
        <f t="shared" si="0"/>
        <v>8</v>
      </c>
      <c r="AI10" s="13">
        <f t="shared" si="1"/>
        <v>4</v>
      </c>
      <c r="AJ10" s="49">
        <f t="shared" si="2"/>
        <v>7</v>
      </c>
      <c r="AK10" s="13">
        <f t="shared" si="3"/>
        <v>4</v>
      </c>
      <c r="AL10" s="49">
        <f t="shared" si="4"/>
        <v>1</v>
      </c>
      <c r="AM10" s="13">
        <f t="shared" si="5"/>
        <v>4</v>
      </c>
      <c r="AN10" s="13">
        <f t="shared" si="6"/>
        <v>1</v>
      </c>
      <c r="AO10" s="14">
        <f t="shared" si="7"/>
        <v>2</v>
      </c>
      <c r="AP10" s="298">
        <f>(AH10*8)+(AI10*8)+(AJ10*8)+(AK10*8)+(AO10*8)</f>
        <v>200</v>
      </c>
      <c r="AQ10" s="15">
        <f>SUM(AP10-$AP$4)</f>
        <v>24</v>
      </c>
      <c r="AR10" s="15">
        <f>(AK10*3)</f>
        <v>12</v>
      </c>
      <c r="AS10" s="15"/>
      <c r="AT10" s="79">
        <f>SUM(AQ10:AS10)</f>
        <v>36</v>
      </c>
      <c r="AU10" s="87"/>
    </row>
    <row r="11" spans="1:96" ht="26.25" customHeight="1">
      <c r="A11" s="733"/>
      <c r="B11" s="90" t="s">
        <v>41</v>
      </c>
      <c r="C11" s="405" t="s">
        <v>44</v>
      </c>
      <c r="D11" s="409" t="s">
        <v>44</v>
      </c>
      <c r="E11" s="410" t="s">
        <v>43</v>
      </c>
      <c r="F11" s="402" t="s">
        <v>43</v>
      </c>
      <c r="G11" s="402" t="s">
        <v>51</v>
      </c>
      <c r="H11" s="492" t="s">
        <v>96</v>
      </c>
      <c r="I11" s="411" t="s">
        <v>22</v>
      </c>
      <c r="J11" s="405"/>
      <c r="K11" s="402" t="s">
        <v>44</v>
      </c>
      <c r="L11" s="412" t="s">
        <v>44</v>
      </c>
      <c r="M11" s="402" t="s">
        <v>44</v>
      </c>
      <c r="N11" s="402" t="s">
        <v>44</v>
      </c>
      <c r="O11" s="438" t="s">
        <v>44</v>
      </c>
      <c r="P11" s="496" t="s">
        <v>96</v>
      </c>
      <c r="Q11" s="413" t="s">
        <v>22</v>
      </c>
      <c r="R11" s="410" t="s">
        <v>43</v>
      </c>
      <c r="S11" s="402" t="s">
        <v>43</v>
      </c>
      <c r="T11" s="402" t="s">
        <v>51</v>
      </c>
      <c r="U11" s="492" t="s">
        <v>96</v>
      </c>
      <c r="V11" s="403" t="s">
        <v>22</v>
      </c>
      <c r="W11" s="404" t="s">
        <v>22</v>
      </c>
      <c r="X11" s="405" t="s">
        <v>44</v>
      </c>
      <c r="Y11" s="402" t="s">
        <v>43</v>
      </c>
      <c r="Z11" s="402" t="s">
        <v>43</v>
      </c>
      <c r="AA11" s="408" t="s">
        <v>51</v>
      </c>
      <c r="AB11" s="492" t="s">
        <v>96</v>
      </c>
      <c r="AC11" s="403" t="s">
        <v>21</v>
      </c>
      <c r="AD11" s="414" t="s">
        <v>44</v>
      </c>
      <c r="AE11" s="407" t="s">
        <v>43</v>
      </c>
      <c r="AF11" s="406" t="s">
        <v>43</v>
      </c>
      <c r="AG11" s="415" t="s">
        <v>51</v>
      </c>
      <c r="AH11" s="12">
        <f t="shared" si="0"/>
        <v>8</v>
      </c>
      <c r="AI11" s="13">
        <f t="shared" si="1"/>
        <v>4</v>
      </c>
      <c r="AJ11" s="49">
        <f t="shared" si="2"/>
        <v>9</v>
      </c>
      <c r="AK11" s="13">
        <f t="shared" si="3"/>
        <v>4</v>
      </c>
      <c r="AL11" s="49">
        <f t="shared" si="4"/>
        <v>1</v>
      </c>
      <c r="AM11" s="13">
        <f t="shared" si="5"/>
        <v>4</v>
      </c>
      <c r="AN11" s="13">
        <f t="shared" si="6"/>
        <v>1</v>
      </c>
      <c r="AO11" s="14">
        <f t="shared" si="7"/>
        <v>0</v>
      </c>
      <c r="AP11" s="298">
        <f>(AH11*8)+(AI11*8)+(AJ11*8)+(AK11*8)+(AO11*8)</f>
        <v>200</v>
      </c>
      <c r="AQ11" s="15">
        <f t="shared" si="10"/>
        <v>24</v>
      </c>
      <c r="AR11" s="15">
        <f>(AK11*3)</f>
        <v>12</v>
      </c>
      <c r="AS11" s="15"/>
      <c r="AT11" s="79">
        <f>SUM(AQ11:AS11)</f>
        <v>36</v>
      </c>
      <c r="AU11" s="87"/>
    </row>
    <row r="12" spans="1:96" ht="26.25" customHeight="1">
      <c r="A12" s="733"/>
      <c r="B12" s="89" t="s">
        <v>42</v>
      </c>
      <c r="C12" s="416" t="s">
        <v>43</v>
      </c>
      <c r="D12" s="409" t="s">
        <v>44</v>
      </c>
      <c r="E12" s="410" t="s">
        <v>44</v>
      </c>
      <c r="F12" s="402" t="s">
        <v>43</v>
      </c>
      <c r="G12" s="402" t="s">
        <v>43</v>
      </c>
      <c r="H12" s="403" t="s">
        <v>51</v>
      </c>
      <c r="I12" s="493" t="s">
        <v>96</v>
      </c>
      <c r="J12" s="405" t="s">
        <v>22</v>
      </c>
      <c r="K12" s="410"/>
      <c r="L12" s="402" t="s">
        <v>43</v>
      </c>
      <c r="M12" s="402" t="s">
        <v>43</v>
      </c>
      <c r="N12" s="402" t="s">
        <v>51</v>
      </c>
      <c r="O12" s="492" t="s">
        <v>96</v>
      </c>
      <c r="P12" s="404" t="s">
        <v>22</v>
      </c>
      <c r="Q12" s="413" t="s">
        <v>44</v>
      </c>
      <c r="R12" s="410" t="s">
        <v>44</v>
      </c>
      <c r="S12" s="402" t="s">
        <v>43</v>
      </c>
      <c r="T12" s="417" t="s">
        <v>44</v>
      </c>
      <c r="U12" s="417" t="s">
        <v>51</v>
      </c>
      <c r="V12" s="498" t="s">
        <v>96</v>
      </c>
      <c r="W12" s="418" t="s">
        <v>22</v>
      </c>
      <c r="X12" s="419" t="s">
        <v>44</v>
      </c>
      <c r="Y12" s="402" t="s">
        <v>44</v>
      </c>
      <c r="Z12" s="402" t="s">
        <v>43</v>
      </c>
      <c r="AA12" s="408" t="s">
        <v>43</v>
      </c>
      <c r="AB12" s="402" t="s">
        <v>51</v>
      </c>
      <c r="AC12" s="492" t="s">
        <v>96</v>
      </c>
      <c r="AD12" s="404" t="s">
        <v>22</v>
      </c>
      <c r="AE12" s="407" t="s">
        <v>21</v>
      </c>
      <c r="AF12" s="406" t="s">
        <v>44</v>
      </c>
      <c r="AG12" s="420" t="s">
        <v>44</v>
      </c>
      <c r="AH12" s="12">
        <f t="shared" si="0"/>
        <v>8</v>
      </c>
      <c r="AI12" s="13">
        <f t="shared" si="1"/>
        <v>4</v>
      </c>
      <c r="AJ12" s="49">
        <f t="shared" si="2"/>
        <v>9</v>
      </c>
      <c r="AK12" s="13">
        <f t="shared" si="3"/>
        <v>4</v>
      </c>
      <c r="AL12" s="49">
        <f t="shared" si="4"/>
        <v>1</v>
      </c>
      <c r="AM12" s="13">
        <f t="shared" si="5"/>
        <v>4</v>
      </c>
      <c r="AN12" s="13">
        <f t="shared" si="6"/>
        <v>1</v>
      </c>
      <c r="AO12" s="14">
        <f t="shared" si="7"/>
        <v>0</v>
      </c>
      <c r="AP12" s="298">
        <f>(AH12*8)+(AI12*8)+(AJ12*8)+(AK12*8)+(AO12*8)</f>
        <v>200</v>
      </c>
      <c r="AQ12" s="15">
        <f t="shared" si="10"/>
        <v>24</v>
      </c>
      <c r="AR12" s="15">
        <f>(AK12*3)</f>
        <v>12</v>
      </c>
      <c r="AS12" s="15"/>
      <c r="AT12" s="79">
        <f>SUM(AQ12:AS12)</f>
        <v>36</v>
      </c>
      <c r="AU12" s="87"/>
    </row>
    <row r="13" spans="1:96" ht="26.25" customHeight="1">
      <c r="A13" s="733"/>
      <c r="B13" s="90" t="s">
        <v>45</v>
      </c>
      <c r="C13" s="484" t="s">
        <v>22</v>
      </c>
      <c r="D13" s="409" t="s">
        <v>44</v>
      </c>
      <c r="E13" s="402" t="s">
        <v>44</v>
      </c>
      <c r="F13" s="402" t="s">
        <v>44</v>
      </c>
      <c r="G13" s="538" t="s">
        <v>39</v>
      </c>
      <c r="H13" s="403" t="s">
        <v>43</v>
      </c>
      <c r="I13" s="404" t="s">
        <v>51</v>
      </c>
      <c r="J13" s="494" t="s">
        <v>96</v>
      </c>
      <c r="K13" s="402"/>
      <c r="L13" s="402" t="s">
        <v>44</v>
      </c>
      <c r="M13" s="466" t="s">
        <v>39</v>
      </c>
      <c r="N13" s="402" t="s">
        <v>43</v>
      </c>
      <c r="O13" s="421" t="s">
        <v>51</v>
      </c>
      <c r="P13" s="404" t="s">
        <v>22</v>
      </c>
      <c r="Q13" s="513" t="s">
        <v>96</v>
      </c>
      <c r="R13" s="402" t="s">
        <v>22</v>
      </c>
      <c r="S13" s="402" t="s">
        <v>44</v>
      </c>
      <c r="T13" s="466" t="s">
        <v>39</v>
      </c>
      <c r="U13" s="407" t="s">
        <v>43</v>
      </c>
      <c r="V13" s="403" t="s">
        <v>51</v>
      </c>
      <c r="W13" s="493" t="s">
        <v>96</v>
      </c>
      <c r="X13" s="405" t="s">
        <v>22</v>
      </c>
      <c r="Y13" s="402" t="s">
        <v>44</v>
      </c>
      <c r="Z13" s="402" t="s">
        <v>44</v>
      </c>
      <c r="AA13" s="408"/>
      <c r="AB13" s="402" t="s">
        <v>43</v>
      </c>
      <c r="AC13" s="403" t="s">
        <v>51</v>
      </c>
      <c r="AD13" s="493" t="s">
        <v>96</v>
      </c>
      <c r="AE13" s="407"/>
      <c r="AF13" s="422" t="s">
        <v>44</v>
      </c>
      <c r="AG13" s="534" t="s">
        <v>39</v>
      </c>
      <c r="AH13" s="16">
        <f t="shared" si="0"/>
        <v>8</v>
      </c>
      <c r="AI13" s="17">
        <f t="shared" si="1"/>
        <v>4</v>
      </c>
      <c r="AJ13" s="48">
        <f t="shared" si="2"/>
        <v>8</v>
      </c>
      <c r="AK13" s="17">
        <f t="shared" si="3"/>
        <v>4</v>
      </c>
      <c r="AL13" s="48">
        <f t="shared" si="4"/>
        <v>0</v>
      </c>
      <c r="AM13" s="17">
        <f t="shared" si="5"/>
        <v>4</v>
      </c>
      <c r="AN13" s="17">
        <f t="shared" si="6"/>
        <v>3</v>
      </c>
      <c r="AO13" s="18">
        <f t="shared" si="7"/>
        <v>0</v>
      </c>
      <c r="AP13" s="299">
        <f>(AH13*8)+(AI13*8)+(AJ13*8)+(AK13*8)+(AO13*8)+8</f>
        <v>200</v>
      </c>
      <c r="AQ13" s="38">
        <f t="shared" si="10"/>
        <v>24</v>
      </c>
      <c r="AR13" s="38">
        <f>(AK13*3)</f>
        <v>12</v>
      </c>
      <c r="AS13" s="38"/>
      <c r="AT13" s="80">
        <f>SUM(AQ13:AS13)</f>
        <v>36</v>
      </c>
      <c r="AU13" s="87"/>
    </row>
    <row r="14" spans="1:96" ht="26.25" customHeight="1">
      <c r="A14" s="733"/>
      <c r="B14" s="89" t="s">
        <v>46</v>
      </c>
      <c r="C14" s="485"/>
      <c r="D14" s="423" t="s">
        <v>51</v>
      </c>
      <c r="E14" s="490" t="s">
        <v>96</v>
      </c>
      <c r="F14" s="423" t="s">
        <v>22</v>
      </c>
      <c r="G14" s="423" t="s">
        <v>44</v>
      </c>
      <c r="H14" s="424" t="s">
        <v>43</v>
      </c>
      <c r="I14" s="514" t="s">
        <v>39</v>
      </c>
      <c r="J14" s="426" t="s">
        <v>51</v>
      </c>
      <c r="K14" s="490" t="s">
        <v>96</v>
      </c>
      <c r="L14" s="423" t="s">
        <v>22</v>
      </c>
      <c r="M14" s="423" t="s">
        <v>44</v>
      </c>
      <c r="N14" s="515" t="s">
        <v>39</v>
      </c>
      <c r="O14" s="424" t="s">
        <v>43</v>
      </c>
      <c r="P14" s="425" t="s">
        <v>51</v>
      </c>
      <c r="Q14" s="426" t="s">
        <v>44</v>
      </c>
      <c r="R14" s="423"/>
      <c r="S14" s="423" t="s">
        <v>44</v>
      </c>
      <c r="T14" s="423" t="s">
        <v>44</v>
      </c>
      <c r="U14" s="515" t="s">
        <v>39</v>
      </c>
      <c r="V14" s="424" t="s">
        <v>43</v>
      </c>
      <c r="W14" s="425" t="s">
        <v>22</v>
      </c>
      <c r="X14" s="497" t="s">
        <v>96</v>
      </c>
      <c r="Y14" s="423" t="s">
        <v>22</v>
      </c>
      <c r="Z14" s="423" t="s">
        <v>44</v>
      </c>
      <c r="AA14" s="427" t="s">
        <v>44</v>
      </c>
      <c r="AB14" s="515" t="s">
        <v>39</v>
      </c>
      <c r="AC14" s="424" t="s">
        <v>43</v>
      </c>
      <c r="AD14" s="425" t="s">
        <v>51</v>
      </c>
      <c r="AE14" s="499" t="s">
        <v>96</v>
      </c>
      <c r="AF14" s="428" t="s">
        <v>21</v>
      </c>
      <c r="AG14" s="429" t="s">
        <v>44</v>
      </c>
      <c r="AH14" s="12">
        <f t="shared" si="0"/>
        <v>8</v>
      </c>
      <c r="AI14" s="13">
        <f t="shared" si="1"/>
        <v>4</v>
      </c>
      <c r="AJ14" s="49">
        <f t="shared" si="2"/>
        <v>8</v>
      </c>
      <c r="AK14" s="13">
        <f t="shared" si="3"/>
        <v>4</v>
      </c>
      <c r="AL14" s="49">
        <f t="shared" si="4"/>
        <v>1</v>
      </c>
      <c r="AM14" s="13">
        <f t="shared" si="5"/>
        <v>4</v>
      </c>
      <c r="AN14" s="13">
        <f t="shared" si="6"/>
        <v>2</v>
      </c>
      <c r="AO14" s="14">
        <f t="shared" si="7"/>
        <v>0</v>
      </c>
      <c r="AP14" s="298">
        <f>(AH14*8)+(AI14*8)+(AJ14*8)+(AK14*8)+(AO14*8)+8</f>
        <v>200</v>
      </c>
      <c r="AQ14" s="15">
        <f t="shared" si="10"/>
        <v>24</v>
      </c>
      <c r="AR14" s="15">
        <f t="shared" ref="AR14:AR26" si="11">(AK14*3)</f>
        <v>12</v>
      </c>
      <c r="AS14" s="15"/>
      <c r="AT14" s="79">
        <f t="shared" ref="AT14:AT26" si="12">SUM(AQ14:AS14)</f>
        <v>36</v>
      </c>
      <c r="AU14" s="87"/>
    </row>
    <row r="15" spans="1:96" ht="26.25" customHeight="1">
      <c r="A15" s="733"/>
      <c r="B15" s="91" t="s">
        <v>47</v>
      </c>
      <c r="C15" s="430" t="s">
        <v>51</v>
      </c>
      <c r="D15" s="64" t="s">
        <v>96</v>
      </c>
      <c r="E15" s="431"/>
      <c r="F15" s="428" t="s">
        <v>44</v>
      </c>
      <c r="G15" s="428" t="s">
        <v>44</v>
      </c>
      <c r="H15" s="63" t="s">
        <v>22</v>
      </c>
      <c r="I15" s="69" t="s">
        <v>43</v>
      </c>
      <c r="J15" s="539" t="s">
        <v>43</v>
      </c>
      <c r="K15" s="428" t="s">
        <v>51</v>
      </c>
      <c r="L15" s="64" t="s">
        <v>96</v>
      </c>
      <c r="M15" s="428" t="s">
        <v>22</v>
      </c>
      <c r="N15" s="428" t="s">
        <v>44</v>
      </c>
      <c r="O15" s="63" t="s">
        <v>43</v>
      </c>
      <c r="P15" s="69" t="s">
        <v>43</v>
      </c>
      <c r="Q15" s="432" t="s">
        <v>51</v>
      </c>
      <c r="R15" s="64" t="s">
        <v>96</v>
      </c>
      <c r="S15" s="428" t="s">
        <v>22</v>
      </c>
      <c r="T15" s="428" t="s">
        <v>44</v>
      </c>
      <c r="U15" s="428" t="s">
        <v>44</v>
      </c>
      <c r="V15" s="63" t="s">
        <v>43</v>
      </c>
      <c r="W15" s="69" t="s">
        <v>43</v>
      </c>
      <c r="X15" s="432" t="s">
        <v>51</v>
      </c>
      <c r="Y15" s="64" t="s">
        <v>96</v>
      </c>
      <c r="Z15" s="428" t="s">
        <v>22</v>
      </c>
      <c r="AA15" s="62" t="s">
        <v>43</v>
      </c>
      <c r="AB15" s="428" t="s">
        <v>44</v>
      </c>
      <c r="AC15" s="518" t="s">
        <v>44</v>
      </c>
      <c r="AD15" s="69" t="s">
        <v>21</v>
      </c>
      <c r="AE15" s="433" t="s">
        <v>44</v>
      </c>
      <c r="AF15" s="488" t="s">
        <v>43</v>
      </c>
      <c r="AG15" s="434" t="s">
        <v>44</v>
      </c>
      <c r="AH15" s="244">
        <f t="shared" si="0"/>
        <v>8</v>
      </c>
      <c r="AI15" s="245">
        <f t="shared" si="1"/>
        <v>4</v>
      </c>
      <c r="AJ15" s="245">
        <f t="shared" si="2"/>
        <v>9</v>
      </c>
      <c r="AK15" s="245">
        <f t="shared" si="3"/>
        <v>4</v>
      </c>
      <c r="AL15" s="246">
        <f t="shared" si="4"/>
        <v>1</v>
      </c>
      <c r="AM15" s="245">
        <f t="shared" si="5"/>
        <v>4</v>
      </c>
      <c r="AN15" s="245">
        <f t="shared" si="6"/>
        <v>1</v>
      </c>
      <c r="AO15" s="247">
        <f t="shared" si="7"/>
        <v>0</v>
      </c>
      <c r="AP15" s="300">
        <f>(AH15*8)+(AI15*8)+(AJ15*8)+(AK15*8)+(AO15*8)</f>
        <v>200</v>
      </c>
      <c r="AQ15" s="248">
        <f t="shared" si="10"/>
        <v>24</v>
      </c>
      <c r="AR15" s="248">
        <f t="shared" si="11"/>
        <v>12</v>
      </c>
      <c r="AS15" s="248"/>
      <c r="AT15" s="301">
        <f t="shared" si="12"/>
        <v>36</v>
      </c>
      <c r="AU15" s="87"/>
    </row>
    <row r="16" spans="1:96" ht="26.25" customHeight="1">
      <c r="A16" s="733"/>
      <c r="B16" s="294" t="s">
        <v>48</v>
      </c>
      <c r="C16" s="489" t="s">
        <v>96</v>
      </c>
      <c r="D16" s="428"/>
      <c r="E16" s="428" t="s">
        <v>44</v>
      </c>
      <c r="F16" s="428" t="s">
        <v>44</v>
      </c>
      <c r="G16" s="428" t="s">
        <v>44</v>
      </c>
      <c r="H16" s="63" t="s">
        <v>44</v>
      </c>
      <c r="I16" s="69" t="s">
        <v>22</v>
      </c>
      <c r="J16" s="516" t="s">
        <v>39</v>
      </c>
      <c r="K16" s="428" t="s">
        <v>43</v>
      </c>
      <c r="L16" s="428" t="s">
        <v>51</v>
      </c>
      <c r="M16" s="64" t="s">
        <v>96</v>
      </c>
      <c r="N16" s="428"/>
      <c r="O16" s="63" t="s">
        <v>22</v>
      </c>
      <c r="P16" s="69" t="s">
        <v>43</v>
      </c>
      <c r="Q16" s="432" t="s">
        <v>43</v>
      </c>
      <c r="R16" s="428" t="s">
        <v>51</v>
      </c>
      <c r="S16" s="64" t="s">
        <v>96</v>
      </c>
      <c r="T16" s="428" t="s">
        <v>22</v>
      </c>
      <c r="U16" s="428" t="s">
        <v>44</v>
      </c>
      <c r="V16" s="63" t="s">
        <v>44</v>
      </c>
      <c r="W16" s="69" t="s">
        <v>43</v>
      </c>
      <c r="X16" s="539" t="s">
        <v>39</v>
      </c>
      <c r="Y16" s="428" t="s">
        <v>51</v>
      </c>
      <c r="Z16" s="64" t="s">
        <v>96</v>
      </c>
      <c r="AA16" s="62" t="s">
        <v>22</v>
      </c>
      <c r="AB16" s="428" t="s">
        <v>44</v>
      </c>
      <c r="AC16" s="63" t="s">
        <v>43</v>
      </c>
      <c r="AD16" s="69" t="s">
        <v>43</v>
      </c>
      <c r="AE16" s="433" t="s">
        <v>51</v>
      </c>
      <c r="AF16" s="70" t="s">
        <v>96</v>
      </c>
      <c r="AG16" s="436"/>
      <c r="AH16" s="202">
        <f t="shared" si="0"/>
        <v>8</v>
      </c>
      <c r="AI16" s="13">
        <f t="shared" si="1"/>
        <v>4</v>
      </c>
      <c r="AJ16" s="13">
        <f t="shared" si="2"/>
        <v>7</v>
      </c>
      <c r="AK16" s="13">
        <f t="shared" si="3"/>
        <v>5</v>
      </c>
      <c r="AL16" s="49">
        <f t="shared" si="4"/>
        <v>0</v>
      </c>
      <c r="AM16" s="49">
        <f t="shared" si="5"/>
        <v>4</v>
      </c>
      <c r="AN16" s="13">
        <f t="shared" si="6"/>
        <v>3</v>
      </c>
      <c r="AO16" s="14">
        <f t="shared" si="7"/>
        <v>0</v>
      </c>
      <c r="AP16" s="298">
        <f>(AH16*8)+(AI16*8)+(AJ16*8)+(AK16*8)+(AO16*8)+4</f>
        <v>196</v>
      </c>
      <c r="AQ16" s="15">
        <f t="shared" si="10"/>
        <v>20</v>
      </c>
      <c r="AR16" s="15">
        <f t="shared" si="11"/>
        <v>15</v>
      </c>
      <c r="AS16" s="15"/>
      <c r="AT16" s="79">
        <f t="shared" si="12"/>
        <v>35</v>
      </c>
      <c r="AU16" s="87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</row>
    <row r="17" spans="1:47" ht="26.25" customHeight="1">
      <c r="A17" s="733"/>
      <c r="B17" s="295" t="s">
        <v>50</v>
      </c>
      <c r="C17" s="435" t="s">
        <v>44</v>
      </c>
      <c r="D17" s="437" t="s">
        <v>44</v>
      </c>
      <c r="E17" s="412" t="s">
        <v>43</v>
      </c>
      <c r="F17" s="535" t="s">
        <v>36</v>
      </c>
      <c r="G17" s="412" t="s">
        <v>51</v>
      </c>
      <c r="H17" s="495" t="s">
        <v>96</v>
      </c>
      <c r="I17" s="439" t="s">
        <v>22</v>
      </c>
      <c r="J17" s="440" t="s">
        <v>44</v>
      </c>
      <c r="K17" s="412" t="s">
        <v>44</v>
      </c>
      <c r="L17" s="412" t="s">
        <v>44</v>
      </c>
      <c r="M17" s="412" t="s">
        <v>44</v>
      </c>
      <c r="N17" s="412" t="s">
        <v>44</v>
      </c>
      <c r="O17" s="438" t="s">
        <v>22</v>
      </c>
      <c r="P17" s="496" t="s">
        <v>96</v>
      </c>
      <c r="Q17" s="440"/>
      <c r="R17" s="441" t="s">
        <v>43</v>
      </c>
      <c r="S17" s="535" t="s">
        <v>36</v>
      </c>
      <c r="T17" s="412" t="s">
        <v>51</v>
      </c>
      <c r="U17" s="495" t="s">
        <v>96</v>
      </c>
      <c r="V17" s="438"/>
      <c r="W17" s="439" t="s">
        <v>22</v>
      </c>
      <c r="X17" s="517" t="s">
        <v>44</v>
      </c>
      <c r="Y17" s="412" t="s">
        <v>43</v>
      </c>
      <c r="Z17" s="535" t="s">
        <v>36</v>
      </c>
      <c r="AA17" s="442" t="s">
        <v>51</v>
      </c>
      <c r="AB17" s="495" t="s">
        <v>96</v>
      </c>
      <c r="AC17" s="438" t="s">
        <v>21</v>
      </c>
      <c r="AD17" s="443" t="s">
        <v>22</v>
      </c>
      <c r="AE17" s="444" t="s">
        <v>43</v>
      </c>
      <c r="AF17" s="536" t="s">
        <v>36</v>
      </c>
      <c r="AG17" s="445" t="s">
        <v>51</v>
      </c>
      <c r="AH17" s="201">
        <f t="shared" si="0"/>
        <v>8</v>
      </c>
      <c r="AI17" s="17">
        <f t="shared" si="1"/>
        <v>4</v>
      </c>
      <c r="AJ17" s="17">
        <f t="shared" si="2"/>
        <v>8</v>
      </c>
      <c r="AK17" s="17">
        <f t="shared" si="3"/>
        <v>4</v>
      </c>
      <c r="AL17" s="48">
        <f t="shared" si="4"/>
        <v>1</v>
      </c>
      <c r="AM17" s="17">
        <f t="shared" si="5"/>
        <v>4</v>
      </c>
      <c r="AN17" s="17">
        <v>0</v>
      </c>
      <c r="AO17" s="18">
        <f t="shared" si="7"/>
        <v>0</v>
      </c>
      <c r="AP17" s="302">
        <f>(AH17*8)+(AI17*8)+(AJ17*8)+(AK17*8)+(AO17*8)+8</f>
        <v>200</v>
      </c>
      <c r="AQ17" s="56">
        <f t="shared" si="10"/>
        <v>24</v>
      </c>
      <c r="AR17" s="192">
        <f t="shared" si="11"/>
        <v>12</v>
      </c>
      <c r="AS17" s="192"/>
      <c r="AT17" s="303">
        <f t="shared" si="12"/>
        <v>36</v>
      </c>
      <c r="AU17" s="87"/>
    </row>
    <row r="18" spans="1:47" ht="26.25" customHeight="1" thickBot="1">
      <c r="A18" s="733"/>
      <c r="B18" s="317" t="s">
        <v>52</v>
      </c>
      <c r="C18" s="435"/>
      <c r="D18" s="446"/>
      <c r="E18" s="446"/>
      <c r="F18" s="446"/>
      <c r="G18" s="446"/>
      <c r="H18" s="447"/>
      <c r="I18" s="448"/>
      <c r="J18" s="435"/>
      <c r="K18" s="446"/>
      <c r="L18" s="446"/>
      <c r="M18" s="446"/>
      <c r="N18" s="446"/>
      <c r="O18" s="447"/>
      <c r="P18" s="449"/>
      <c r="Q18" s="450"/>
      <c r="R18" s="451"/>
      <c r="S18" s="451"/>
      <c r="T18" s="451"/>
      <c r="U18" s="451"/>
      <c r="V18" s="452"/>
      <c r="W18" s="449"/>
      <c r="X18" s="450"/>
      <c r="Y18" s="451"/>
      <c r="Z18" s="451"/>
      <c r="AA18" s="453"/>
      <c r="AB18" s="451"/>
      <c r="AC18" s="452"/>
      <c r="AD18" s="449"/>
      <c r="AE18" s="454"/>
      <c r="AF18" s="455"/>
      <c r="AG18" s="456"/>
      <c r="AH18" s="278">
        <f t="shared" si="0"/>
        <v>0</v>
      </c>
      <c r="AI18" s="81">
        <f t="shared" si="1"/>
        <v>0</v>
      </c>
      <c r="AJ18" s="81">
        <f t="shared" si="2"/>
        <v>0</v>
      </c>
      <c r="AK18" s="81">
        <f t="shared" si="3"/>
        <v>0</v>
      </c>
      <c r="AL18" s="82">
        <f t="shared" si="4"/>
        <v>0</v>
      </c>
      <c r="AM18" s="81">
        <f t="shared" si="5"/>
        <v>0</v>
      </c>
      <c r="AN18" s="81">
        <v>0</v>
      </c>
      <c r="AO18" s="194">
        <f t="shared" si="7"/>
        <v>0</v>
      </c>
      <c r="AP18" s="304">
        <f t="shared" ref="AP18:AP25" si="13">(AH18*8)+(AI18*8)+(AJ18*8)+(AK18*8)+(AO18*8)</f>
        <v>0</v>
      </c>
      <c r="AQ18" s="195">
        <v>0</v>
      </c>
      <c r="AR18" s="195">
        <f t="shared" si="11"/>
        <v>0</v>
      </c>
      <c r="AS18" s="195"/>
      <c r="AT18" s="196">
        <f t="shared" si="12"/>
        <v>0</v>
      </c>
      <c r="AU18" s="87"/>
    </row>
    <row r="19" spans="1:47" ht="26.25" customHeight="1">
      <c r="A19" s="733"/>
      <c r="B19" s="319" t="s">
        <v>53</v>
      </c>
      <c r="C19" s="457" t="s">
        <v>44</v>
      </c>
      <c r="D19" s="458" t="s">
        <v>44</v>
      </c>
      <c r="E19" s="458" t="s">
        <v>44</v>
      </c>
      <c r="F19" s="458" t="s">
        <v>44</v>
      </c>
      <c r="G19" s="458" t="s">
        <v>44</v>
      </c>
      <c r="H19" s="459"/>
      <c r="I19" s="460"/>
      <c r="J19" s="457" t="s">
        <v>44</v>
      </c>
      <c r="K19" s="458" t="s">
        <v>44</v>
      </c>
      <c r="L19" s="458" t="s">
        <v>44</v>
      </c>
      <c r="M19" s="458" t="s">
        <v>44</v>
      </c>
      <c r="N19" s="458" t="s">
        <v>44</v>
      </c>
      <c r="O19" s="459"/>
      <c r="P19" s="460"/>
      <c r="Q19" s="457" t="s">
        <v>44</v>
      </c>
      <c r="R19" s="458" t="s">
        <v>44</v>
      </c>
      <c r="S19" s="458" t="s">
        <v>44</v>
      </c>
      <c r="T19" s="458" t="s">
        <v>44</v>
      </c>
      <c r="U19" s="458" t="s">
        <v>44</v>
      </c>
      <c r="V19" s="459"/>
      <c r="W19" s="460"/>
      <c r="X19" s="457" t="s">
        <v>44</v>
      </c>
      <c r="Y19" s="458" t="s">
        <v>44</v>
      </c>
      <c r="Z19" s="458" t="s">
        <v>44</v>
      </c>
      <c r="AA19" s="461"/>
      <c r="AB19" s="458" t="s">
        <v>44</v>
      </c>
      <c r="AC19" s="459"/>
      <c r="AD19" s="460"/>
      <c r="AE19" s="462" t="s">
        <v>44</v>
      </c>
      <c r="AF19" s="463" t="s">
        <v>44</v>
      </c>
      <c r="AG19" s="464" t="s">
        <v>44</v>
      </c>
      <c r="AH19" s="200">
        <f t="shared" si="0"/>
        <v>0</v>
      </c>
      <c r="AI19" s="188">
        <f t="shared" si="1"/>
        <v>0</v>
      </c>
      <c r="AJ19" s="188">
        <f t="shared" si="2"/>
        <v>22</v>
      </c>
      <c r="AK19" s="188">
        <f t="shared" si="3"/>
        <v>0</v>
      </c>
      <c r="AL19" s="189">
        <f t="shared" si="4"/>
        <v>0</v>
      </c>
      <c r="AM19" s="189">
        <f t="shared" si="5"/>
        <v>0</v>
      </c>
      <c r="AN19" s="188">
        <f t="shared" ref="AN19:AN26" si="14">COUNTIF(C19:AG19,"")</f>
        <v>9</v>
      </c>
      <c r="AO19" s="190">
        <f t="shared" si="7"/>
        <v>0</v>
      </c>
      <c r="AP19" s="191">
        <f t="shared" si="13"/>
        <v>176</v>
      </c>
      <c r="AQ19" s="192">
        <f t="shared" ref="AQ19:AQ26" si="15">SUM(AP19-$AP$4)</f>
        <v>0</v>
      </c>
      <c r="AR19" s="192">
        <f t="shared" si="11"/>
        <v>0</v>
      </c>
      <c r="AS19" s="192"/>
      <c r="AT19" s="193">
        <f t="shared" si="12"/>
        <v>0</v>
      </c>
      <c r="AU19" s="87"/>
    </row>
    <row r="20" spans="1:47" ht="26.25" customHeight="1">
      <c r="A20" s="733"/>
      <c r="B20" s="320" t="s">
        <v>54</v>
      </c>
      <c r="C20" s="484"/>
      <c r="D20" s="402" t="s">
        <v>22</v>
      </c>
      <c r="E20" s="402" t="s">
        <v>44</v>
      </c>
      <c r="F20" s="402" t="s">
        <v>43</v>
      </c>
      <c r="G20" s="402" t="s">
        <v>44</v>
      </c>
      <c r="H20" s="403" t="s">
        <v>51</v>
      </c>
      <c r="I20" s="504" t="s">
        <v>96</v>
      </c>
      <c r="J20" s="405" t="s">
        <v>22</v>
      </c>
      <c r="K20" s="402" t="s">
        <v>44</v>
      </c>
      <c r="L20" s="402" t="s">
        <v>44</v>
      </c>
      <c r="M20" s="410" t="s">
        <v>44</v>
      </c>
      <c r="N20" s="402" t="s">
        <v>43</v>
      </c>
      <c r="O20" s="403" t="s">
        <v>43</v>
      </c>
      <c r="P20" s="404" t="s">
        <v>51</v>
      </c>
      <c r="Q20" s="494" t="s">
        <v>96</v>
      </c>
      <c r="R20" s="402" t="s">
        <v>22</v>
      </c>
      <c r="S20" s="410" t="s">
        <v>44</v>
      </c>
      <c r="T20" s="402" t="s">
        <v>43</v>
      </c>
      <c r="U20" s="402" t="s">
        <v>43</v>
      </c>
      <c r="V20" s="403" t="s">
        <v>51</v>
      </c>
      <c r="W20" s="493" t="s">
        <v>96</v>
      </c>
      <c r="X20" s="405" t="s">
        <v>22</v>
      </c>
      <c r="Y20" s="402" t="s">
        <v>44</v>
      </c>
      <c r="Z20" s="402" t="s">
        <v>43</v>
      </c>
      <c r="AA20" s="408" t="s">
        <v>43</v>
      </c>
      <c r="AB20" s="402" t="s">
        <v>51</v>
      </c>
      <c r="AC20" s="492" t="s">
        <v>96</v>
      </c>
      <c r="AD20" s="404" t="s">
        <v>21</v>
      </c>
      <c r="AE20" s="407" t="s">
        <v>44</v>
      </c>
      <c r="AF20" s="406" t="s">
        <v>44</v>
      </c>
      <c r="AG20" s="465" t="s">
        <v>43</v>
      </c>
      <c r="AH20" s="201">
        <f t="shared" si="0"/>
        <v>8</v>
      </c>
      <c r="AI20" s="17">
        <f t="shared" si="1"/>
        <v>4</v>
      </c>
      <c r="AJ20" s="17">
        <f t="shared" si="2"/>
        <v>9</v>
      </c>
      <c r="AK20" s="17">
        <f t="shared" si="3"/>
        <v>4</v>
      </c>
      <c r="AL20" s="48">
        <f t="shared" si="4"/>
        <v>1</v>
      </c>
      <c r="AM20" s="48">
        <f t="shared" si="5"/>
        <v>4</v>
      </c>
      <c r="AN20" s="17">
        <f t="shared" si="14"/>
        <v>1</v>
      </c>
      <c r="AO20" s="53">
        <f t="shared" si="7"/>
        <v>0</v>
      </c>
      <c r="AP20" s="37">
        <f t="shared" si="13"/>
        <v>200</v>
      </c>
      <c r="AQ20" s="38">
        <f t="shared" si="15"/>
        <v>24</v>
      </c>
      <c r="AR20" s="38">
        <f t="shared" si="11"/>
        <v>12</v>
      </c>
      <c r="AS20" s="38"/>
      <c r="AT20" s="80">
        <f t="shared" si="12"/>
        <v>36</v>
      </c>
      <c r="AU20" s="87"/>
    </row>
    <row r="21" spans="1:47" ht="26.25" customHeight="1">
      <c r="A21" s="733"/>
      <c r="B21" s="321" t="s">
        <v>55</v>
      </c>
      <c r="C21" s="405" t="s">
        <v>44</v>
      </c>
      <c r="D21" s="402" t="s">
        <v>44</v>
      </c>
      <c r="E21" s="402" t="s">
        <v>22</v>
      </c>
      <c r="F21" s="402" t="s">
        <v>44</v>
      </c>
      <c r="G21" s="402" t="s">
        <v>43</v>
      </c>
      <c r="H21" s="403" t="s">
        <v>43</v>
      </c>
      <c r="I21" s="404" t="s">
        <v>51</v>
      </c>
      <c r="J21" s="494" t="s">
        <v>96</v>
      </c>
      <c r="K21" s="402" t="s">
        <v>22</v>
      </c>
      <c r="L21" s="402" t="s">
        <v>44</v>
      </c>
      <c r="M21" s="402" t="s">
        <v>43</v>
      </c>
      <c r="N21" s="402" t="s">
        <v>43</v>
      </c>
      <c r="O21" s="403" t="s">
        <v>51</v>
      </c>
      <c r="P21" s="506" t="s">
        <v>96</v>
      </c>
      <c r="Q21" s="405"/>
      <c r="R21" s="402" t="s">
        <v>44</v>
      </c>
      <c r="S21" s="402" t="s">
        <v>43</v>
      </c>
      <c r="T21" s="402" t="s">
        <v>43</v>
      </c>
      <c r="U21" s="402" t="s">
        <v>51</v>
      </c>
      <c r="V21" s="492" t="s">
        <v>96</v>
      </c>
      <c r="W21" s="404" t="s">
        <v>22</v>
      </c>
      <c r="X21" s="405" t="s">
        <v>44</v>
      </c>
      <c r="Y21" s="402" t="s">
        <v>44</v>
      </c>
      <c r="Z21" s="402" t="s">
        <v>44</v>
      </c>
      <c r="AA21" s="408" t="s">
        <v>22</v>
      </c>
      <c r="AB21" s="402" t="s">
        <v>43</v>
      </c>
      <c r="AC21" s="403" t="s">
        <v>43</v>
      </c>
      <c r="AD21" s="404" t="s">
        <v>51</v>
      </c>
      <c r="AE21" s="505" t="s">
        <v>96</v>
      </c>
      <c r="AF21" s="406"/>
      <c r="AG21" s="465" t="s">
        <v>44</v>
      </c>
      <c r="AH21" s="201">
        <f t="shared" si="0"/>
        <v>8</v>
      </c>
      <c r="AI21" s="17">
        <f t="shared" si="1"/>
        <v>4</v>
      </c>
      <c r="AJ21" s="17">
        <f t="shared" si="2"/>
        <v>9</v>
      </c>
      <c r="AK21" s="17">
        <f t="shared" si="3"/>
        <v>4</v>
      </c>
      <c r="AL21" s="48">
        <f t="shared" si="4"/>
        <v>0</v>
      </c>
      <c r="AM21" s="17">
        <f t="shared" si="5"/>
        <v>4</v>
      </c>
      <c r="AN21" s="17">
        <f t="shared" si="14"/>
        <v>2</v>
      </c>
      <c r="AO21" s="53">
        <f t="shared" si="7"/>
        <v>0</v>
      </c>
      <c r="AP21" s="37">
        <f t="shared" si="13"/>
        <v>200</v>
      </c>
      <c r="AQ21" s="38">
        <f t="shared" si="15"/>
        <v>24</v>
      </c>
      <c r="AR21" s="38">
        <f t="shared" si="11"/>
        <v>12</v>
      </c>
      <c r="AS21" s="38"/>
      <c r="AT21" s="80">
        <f t="shared" si="12"/>
        <v>36</v>
      </c>
      <c r="AU21" s="87"/>
    </row>
    <row r="22" spans="1:47" ht="26.25" customHeight="1">
      <c r="A22" s="733"/>
      <c r="B22" s="322" t="s">
        <v>56</v>
      </c>
      <c r="C22" s="401" t="s">
        <v>43</v>
      </c>
      <c r="D22" s="402" t="s">
        <v>51</v>
      </c>
      <c r="E22" s="492" t="s">
        <v>96</v>
      </c>
      <c r="F22" s="402" t="s">
        <v>22</v>
      </c>
      <c r="G22" s="402" t="s">
        <v>44</v>
      </c>
      <c r="H22" s="403" t="s">
        <v>43</v>
      </c>
      <c r="I22" s="404" t="s">
        <v>43</v>
      </c>
      <c r="J22" s="405" t="s">
        <v>51</v>
      </c>
      <c r="K22" s="502" t="s">
        <v>96</v>
      </c>
      <c r="L22" s="402" t="s">
        <v>22</v>
      </c>
      <c r="M22" s="402" t="s">
        <v>44</v>
      </c>
      <c r="N22" s="402" t="s">
        <v>44</v>
      </c>
      <c r="O22" s="403" t="s">
        <v>43</v>
      </c>
      <c r="P22" s="404" t="s">
        <v>43</v>
      </c>
      <c r="Q22" s="405" t="s">
        <v>51</v>
      </c>
      <c r="R22" s="492" t="s">
        <v>96</v>
      </c>
      <c r="S22" s="402"/>
      <c r="T22" s="402" t="s">
        <v>22</v>
      </c>
      <c r="U22" s="402" t="s">
        <v>44</v>
      </c>
      <c r="V22" s="403" t="s">
        <v>44</v>
      </c>
      <c r="W22" s="404" t="s">
        <v>43</v>
      </c>
      <c r="X22" s="405" t="s">
        <v>51</v>
      </c>
      <c r="Y22" s="492" t="s">
        <v>96</v>
      </c>
      <c r="Z22" s="407" t="s">
        <v>22</v>
      </c>
      <c r="AA22" s="408" t="s">
        <v>44</v>
      </c>
      <c r="AB22" s="402" t="s">
        <v>44</v>
      </c>
      <c r="AC22" s="403" t="s">
        <v>21</v>
      </c>
      <c r="AD22" s="404" t="s">
        <v>44</v>
      </c>
      <c r="AE22" s="407" t="s">
        <v>44</v>
      </c>
      <c r="AF22" s="406" t="s">
        <v>43</v>
      </c>
      <c r="AG22" s="465" t="s">
        <v>43</v>
      </c>
      <c r="AH22" s="202">
        <f t="shared" si="0"/>
        <v>8</v>
      </c>
      <c r="AI22" s="13">
        <f t="shared" si="1"/>
        <v>4</v>
      </c>
      <c r="AJ22" s="13">
        <f t="shared" si="2"/>
        <v>9</v>
      </c>
      <c r="AK22" s="13">
        <f t="shared" si="3"/>
        <v>4</v>
      </c>
      <c r="AL22" s="49">
        <f t="shared" si="4"/>
        <v>1</v>
      </c>
      <c r="AM22" s="49">
        <f t="shared" si="5"/>
        <v>4</v>
      </c>
      <c r="AN22" s="13">
        <f t="shared" si="14"/>
        <v>1</v>
      </c>
      <c r="AO22" s="54">
        <f t="shared" si="7"/>
        <v>0</v>
      </c>
      <c r="AP22" s="52">
        <f t="shared" si="13"/>
        <v>200</v>
      </c>
      <c r="AQ22" s="15">
        <f t="shared" si="15"/>
        <v>24</v>
      </c>
      <c r="AR22" s="15">
        <f t="shared" si="11"/>
        <v>12</v>
      </c>
      <c r="AS22" s="15"/>
      <c r="AT22" s="79">
        <f t="shared" si="12"/>
        <v>36</v>
      </c>
      <c r="AU22" s="87"/>
    </row>
    <row r="23" spans="1:47" ht="26.25" customHeight="1" thickBot="1">
      <c r="A23" s="733"/>
      <c r="B23" s="323" t="s">
        <v>57</v>
      </c>
      <c r="C23" s="405" t="s">
        <v>43</v>
      </c>
      <c r="D23" s="402" t="s">
        <v>43</v>
      </c>
      <c r="E23" s="402" t="s">
        <v>51</v>
      </c>
      <c r="F23" s="520" t="s">
        <v>96</v>
      </c>
      <c r="G23" s="423" t="s">
        <v>22</v>
      </c>
      <c r="H23" s="424" t="s">
        <v>44</v>
      </c>
      <c r="I23" s="425" t="s">
        <v>43</v>
      </c>
      <c r="J23" s="426" t="s">
        <v>43</v>
      </c>
      <c r="K23" s="402" t="s">
        <v>51</v>
      </c>
      <c r="L23" s="492" t="s">
        <v>96</v>
      </c>
      <c r="M23" s="410" t="s">
        <v>22</v>
      </c>
      <c r="N23" s="402" t="s">
        <v>44</v>
      </c>
      <c r="O23" s="403" t="s">
        <v>44</v>
      </c>
      <c r="P23" s="439" t="s">
        <v>43</v>
      </c>
      <c r="Q23" s="405" t="s">
        <v>43</v>
      </c>
      <c r="R23" s="402" t="s">
        <v>51</v>
      </c>
      <c r="S23" s="492" t="s">
        <v>96</v>
      </c>
      <c r="T23" s="402"/>
      <c r="U23" s="402" t="s">
        <v>44</v>
      </c>
      <c r="V23" s="403" t="s">
        <v>22</v>
      </c>
      <c r="W23" s="404" t="s">
        <v>43</v>
      </c>
      <c r="X23" s="405" t="s">
        <v>44</v>
      </c>
      <c r="Y23" s="402" t="s">
        <v>51</v>
      </c>
      <c r="Z23" s="492" t="s">
        <v>96</v>
      </c>
      <c r="AA23" s="408"/>
      <c r="AB23" s="402" t="s">
        <v>44</v>
      </c>
      <c r="AC23" s="403" t="s">
        <v>22</v>
      </c>
      <c r="AD23" s="404" t="s">
        <v>43</v>
      </c>
      <c r="AE23" s="407" t="s">
        <v>44</v>
      </c>
      <c r="AF23" s="406" t="s">
        <v>44</v>
      </c>
      <c r="AG23" s="467" t="s">
        <v>44</v>
      </c>
      <c r="AH23" s="12">
        <f t="shared" si="0"/>
        <v>8</v>
      </c>
      <c r="AI23" s="13">
        <f t="shared" si="1"/>
        <v>4</v>
      </c>
      <c r="AJ23" s="49">
        <f t="shared" si="2"/>
        <v>9</v>
      </c>
      <c r="AK23" s="13">
        <f t="shared" si="3"/>
        <v>4</v>
      </c>
      <c r="AL23" s="49">
        <f t="shared" si="4"/>
        <v>0</v>
      </c>
      <c r="AM23" s="49">
        <f t="shared" si="5"/>
        <v>4</v>
      </c>
      <c r="AN23" s="13">
        <f t="shared" si="14"/>
        <v>2</v>
      </c>
      <c r="AO23" s="54">
        <f t="shared" si="7"/>
        <v>0</v>
      </c>
      <c r="AP23" s="52">
        <f t="shared" si="13"/>
        <v>200</v>
      </c>
      <c r="AQ23" s="15">
        <f t="shared" si="15"/>
        <v>24</v>
      </c>
      <c r="AR23" s="15">
        <f t="shared" si="11"/>
        <v>12</v>
      </c>
      <c r="AS23" s="15"/>
      <c r="AT23" s="79">
        <f t="shared" si="12"/>
        <v>36</v>
      </c>
      <c r="AU23" s="87"/>
    </row>
    <row r="24" spans="1:47" ht="26.25" customHeight="1" thickBot="1">
      <c r="A24" s="733"/>
      <c r="B24" s="323" t="s">
        <v>58</v>
      </c>
      <c r="C24" s="405" t="s">
        <v>51</v>
      </c>
      <c r="D24" s="492" t="s">
        <v>96</v>
      </c>
      <c r="E24" s="519"/>
      <c r="F24" s="522" t="s">
        <v>37</v>
      </c>
      <c r="G24" s="523" t="s">
        <v>37</v>
      </c>
      <c r="H24" s="524" t="s">
        <v>37</v>
      </c>
      <c r="I24" s="525" t="s">
        <v>37</v>
      </c>
      <c r="J24" s="526" t="s">
        <v>37</v>
      </c>
      <c r="K24" s="407" t="s">
        <v>43</v>
      </c>
      <c r="L24" s="402" t="s">
        <v>51</v>
      </c>
      <c r="M24" s="492" t="s">
        <v>96</v>
      </c>
      <c r="N24" s="402"/>
      <c r="O24" s="403" t="s">
        <v>22</v>
      </c>
      <c r="P24" s="404" t="s">
        <v>44</v>
      </c>
      <c r="Q24" s="405" t="s">
        <v>43</v>
      </c>
      <c r="R24" s="402" t="s">
        <v>43</v>
      </c>
      <c r="S24" s="402" t="s">
        <v>51</v>
      </c>
      <c r="T24" s="492" t="s">
        <v>96</v>
      </c>
      <c r="U24" s="402" t="s">
        <v>22</v>
      </c>
      <c r="V24" s="403" t="s">
        <v>43</v>
      </c>
      <c r="W24" s="404" t="s">
        <v>44</v>
      </c>
      <c r="X24" s="413" t="s">
        <v>43</v>
      </c>
      <c r="Y24" s="402" t="s">
        <v>43</v>
      </c>
      <c r="Z24" s="402" t="s">
        <v>51</v>
      </c>
      <c r="AA24" s="492" t="s">
        <v>96</v>
      </c>
      <c r="AB24" s="402" t="s">
        <v>22</v>
      </c>
      <c r="AC24" s="403" t="s">
        <v>43</v>
      </c>
      <c r="AD24" s="404" t="s">
        <v>43</v>
      </c>
      <c r="AE24" s="407" t="s">
        <v>51</v>
      </c>
      <c r="AF24" s="508" t="s">
        <v>96</v>
      </c>
      <c r="AG24" s="465" t="s">
        <v>21</v>
      </c>
      <c r="AH24" s="16">
        <f t="shared" si="0"/>
        <v>8</v>
      </c>
      <c r="AI24" s="17">
        <f t="shared" si="1"/>
        <v>5</v>
      </c>
      <c r="AJ24" s="48">
        <f t="shared" si="2"/>
        <v>2</v>
      </c>
      <c r="AK24" s="17">
        <f t="shared" si="3"/>
        <v>5</v>
      </c>
      <c r="AL24" s="48">
        <f t="shared" si="4"/>
        <v>1</v>
      </c>
      <c r="AM24" s="48">
        <f t="shared" si="5"/>
        <v>3</v>
      </c>
      <c r="AN24" s="17">
        <f t="shared" si="14"/>
        <v>2</v>
      </c>
      <c r="AO24" s="53">
        <f t="shared" si="7"/>
        <v>5</v>
      </c>
      <c r="AP24" s="37">
        <f t="shared" si="13"/>
        <v>200</v>
      </c>
      <c r="AQ24" s="38">
        <f t="shared" si="15"/>
        <v>24</v>
      </c>
      <c r="AR24" s="38">
        <f t="shared" si="11"/>
        <v>15</v>
      </c>
      <c r="AS24" s="38"/>
      <c r="AT24" s="80">
        <f t="shared" si="12"/>
        <v>39</v>
      </c>
      <c r="AU24" s="87"/>
    </row>
    <row r="25" spans="1:47" ht="26.25" customHeight="1">
      <c r="A25" s="733"/>
      <c r="B25" s="323" t="s">
        <v>59</v>
      </c>
      <c r="C25" s="405" t="s">
        <v>44</v>
      </c>
      <c r="D25" s="410" t="s">
        <v>43</v>
      </c>
      <c r="E25" s="402" t="s">
        <v>43</v>
      </c>
      <c r="F25" s="412" t="s">
        <v>51</v>
      </c>
      <c r="G25" s="495" t="s">
        <v>96</v>
      </c>
      <c r="H25" s="521" t="s">
        <v>22</v>
      </c>
      <c r="I25" s="439" t="s">
        <v>44</v>
      </c>
      <c r="J25" s="440" t="s">
        <v>44</v>
      </c>
      <c r="K25" s="402" t="s">
        <v>44</v>
      </c>
      <c r="L25" s="402" t="s">
        <v>43</v>
      </c>
      <c r="M25" s="402" t="s">
        <v>43</v>
      </c>
      <c r="N25" s="402" t="s">
        <v>51</v>
      </c>
      <c r="O25" s="505" t="s">
        <v>96</v>
      </c>
      <c r="P25" s="404" t="s">
        <v>22</v>
      </c>
      <c r="Q25" s="405" t="s">
        <v>44</v>
      </c>
      <c r="R25" s="402" t="s">
        <v>43</v>
      </c>
      <c r="S25" s="402" t="s">
        <v>44</v>
      </c>
      <c r="T25" s="402" t="s">
        <v>51</v>
      </c>
      <c r="U25" s="492" t="s">
        <v>96</v>
      </c>
      <c r="V25" s="403"/>
      <c r="W25" s="404" t="s">
        <v>22</v>
      </c>
      <c r="X25" s="405" t="s">
        <v>44</v>
      </c>
      <c r="Y25" s="402" t="s">
        <v>43</v>
      </c>
      <c r="Z25" s="402" t="s">
        <v>43</v>
      </c>
      <c r="AA25" s="408" t="s">
        <v>51</v>
      </c>
      <c r="AB25" s="492" t="s">
        <v>96</v>
      </c>
      <c r="AC25" s="403" t="s">
        <v>21</v>
      </c>
      <c r="AD25" s="404" t="s">
        <v>22</v>
      </c>
      <c r="AE25" s="407" t="s">
        <v>43</v>
      </c>
      <c r="AF25" s="406" t="s">
        <v>51</v>
      </c>
      <c r="AG25" s="493" t="s">
        <v>96</v>
      </c>
      <c r="AH25" s="16">
        <f t="shared" si="0"/>
        <v>8</v>
      </c>
      <c r="AI25" s="17">
        <f t="shared" si="1"/>
        <v>5</v>
      </c>
      <c r="AJ25" s="48">
        <f t="shared" si="2"/>
        <v>7</v>
      </c>
      <c r="AK25" s="17">
        <f t="shared" si="3"/>
        <v>5</v>
      </c>
      <c r="AL25" s="48">
        <f t="shared" si="4"/>
        <v>1</v>
      </c>
      <c r="AM25" s="48">
        <f t="shared" si="5"/>
        <v>4</v>
      </c>
      <c r="AN25" s="17">
        <f t="shared" si="14"/>
        <v>1</v>
      </c>
      <c r="AO25" s="53">
        <f t="shared" si="7"/>
        <v>0</v>
      </c>
      <c r="AP25" s="37">
        <f t="shared" si="13"/>
        <v>200</v>
      </c>
      <c r="AQ25" s="38">
        <f t="shared" si="15"/>
        <v>24</v>
      </c>
      <c r="AR25" s="38">
        <f t="shared" si="11"/>
        <v>15</v>
      </c>
      <c r="AS25" s="38"/>
      <c r="AT25" s="80">
        <f t="shared" si="12"/>
        <v>39</v>
      </c>
      <c r="AU25" s="87"/>
    </row>
    <row r="26" spans="1:47" ht="26.25" customHeight="1">
      <c r="A26" s="733"/>
      <c r="B26" s="324" t="s">
        <v>60</v>
      </c>
      <c r="C26" s="501" t="s">
        <v>96</v>
      </c>
      <c r="D26" s="469"/>
      <c r="E26" s="469" t="s">
        <v>43</v>
      </c>
      <c r="F26" s="537" t="s">
        <v>36</v>
      </c>
      <c r="G26" s="469" t="s">
        <v>51</v>
      </c>
      <c r="H26" s="503" t="s">
        <v>96</v>
      </c>
      <c r="I26" s="477" t="s">
        <v>22</v>
      </c>
      <c r="J26" s="468" t="s">
        <v>44</v>
      </c>
      <c r="K26" s="469" t="s">
        <v>43</v>
      </c>
      <c r="L26" s="537" t="s">
        <v>36</v>
      </c>
      <c r="M26" s="469" t="s">
        <v>51</v>
      </c>
      <c r="N26" s="503" t="s">
        <v>96</v>
      </c>
      <c r="O26" s="470"/>
      <c r="P26" s="471" t="s">
        <v>22</v>
      </c>
      <c r="Q26" s="468" t="s">
        <v>44</v>
      </c>
      <c r="R26" s="469" t="s">
        <v>44</v>
      </c>
      <c r="S26" s="469" t="s">
        <v>22</v>
      </c>
      <c r="T26" s="472" t="s">
        <v>44</v>
      </c>
      <c r="U26" s="537" t="s">
        <v>36</v>
      </c>
      <c r="V26" s="470" t="s">
        <v>43</v>
      </c>
      <c r="W26" s="471" t="s">
        <v>51</v>
      </c>
      <c r="X26" s="501" t="s">
        <v>96</v>
      </c>
      <c r="Y26" s="469" t="s">
        <v>22</v>
      </c>
      <c r="Z26" s="469" t="s">
        <v>44</v>
      </c>
      <c r="AA26" s="473" t="s">
        <v>43</v>
      </c>
      <c r="AB26" s="469" t="s">
        <v>17</v>
      </c>
      <c r="AC26" s="470" t="s">
        <v>51</v>
      </c>
      <c r="AD26" s="507" t="s">
        <v>96</v>
      </c>
      <c r="AE26" s="474" t="s">
        <v>21</v>
      </c>
      <c r="AF26" s="475" t="s">
        <v>44</v>
      </c>
      <c r="AG26" s="476" t="s">
        <v>51</v>
      </c>
      <c r="AH26" s="103">
        <f t="shared" si="0"/>
        <v>8</v>
      </c>
      <c r="AI26" s="81">
        <f t="shared" si="1"/>
        <v>5</v>
      </c>
      <c r="AJ26" s="82">
        <f t="shared" si="2"/>
        <v>6</v>
      </c>
      <c r="AK26" s="81">
        <f t="shared" si="3"/>
        <v>5</v>
      </c>
      <c r="AL26" s="82">
        <f t="shared" si="4"/>
        <v>1</v>
      </c>
      <c r="AM26" s="82">
        <f t="shared" si="5"/>
        <v>4</v>
      </c>
      <c r="AN26" s="81">
        <f t="shared" si="14"/>
        <v>2</v>
      </c>
      <c r="AO26" s="83">
        <f t="shared" si="7"/>
        <v>0</v>
      </c>
      <c r="AP26" s="84">
        <f>(AH26*8)+(AI26*8)+(AJ26*8)+(AK26*8)+(AO26*8)+6</f>
        <v>198</v>
      </c>
      <c r="AQ26" s="85">
        <f t="shared" si="15"/>
        <v>22</v>
      </c>
      <c r="AR26" s="85">
        <f t="shared" si="11"/>
        <v>15</v>
      </c>
      <c r="AS26" s="85"/>
      <c r="AT26" s="86">
        <f t="shared" si="12"/>
        <v>37</v>
      </c>
      <c r="AU26" s="87"/>
    </row>
    <row r="27" spans="1:47" ht="26.25" customHeight="1">
      <c r="A27" s="170"/>
      <c r="B27" s="224" t="s">
        <v>61</v>
      </c>
      <c r="C27" s="336">
        <f t="shared" ref="C27:AG27" si="16">COUNTIF(C8:C26,"A")+COUNTIF(C8:C26,"B")+COUNTIF(C8:C26,"C")+COUNTIF(C8:C26,"A2")+COUNTIF(C8:C26,"A3")+COUNTIF(C8:C26,"A1")+COUNTIF(C8:C26,"A4")+COUNTIF(C8:C26,"B2")+COUNTIF(C8:C26,"B1")+COUNTIF(C8:C26,"C2")+COUNTIF(C8:C26,"C1")+COUNTIF(C8:C26,"C3")+COUNTIF(C8:C26,"C4")</f>
        <v>12</v>
      </c>
      <c r="D27" s="337">
        <f t="shared" si="16"/>
        <v>13</v>
      </c>
      <c r="E27" s="337">
        <f t="shared" si="16"/>
        <v>13</v>
      </c>
      <c r="F27" s="337">
        <f t="shared" si="16"/>
        <v>13</v>
      </c>
      <c r="G27" s="337">
        <f t="shared" si="16"/>
        <v>13</v>
      </c>
      <c r="H27" s="338">
        <f t="shared" si="16"/>
        <v>8</v>
      </c>
      <c r="I27" s="339">
        <f t="shared" si="16"/>
        <v>8</v>
      </c>
      <c r="J27" s="336">
        <f t="shared" si="16"/>
        <v>12</v>
      </c>
      <c r="K27" s="337">
        <f t="shared" si="16"/>
        <v>13</v>
      </c>
      <c r="L27" s="337">
        <f t="shared" si="16"/>
        <v>14</v>
      </c>
      <c r="M27" s="337">
        <f t="shared" si="16"/>
        <v>14</v>
      </c>
      <c r="N27" s="337">
        <f t="shared" si="16"/>
        <v>14</v>
      </c>
      <c r="O27" s="338">
        <f t="shared" si="16"/>
        <v>8</v>
      </c>
      <c r="P27" s="339">
        <f t="shared" si="16"/>
        <v>8</v>
      </c>
      <c r="Q27" s="336">
        <f t="shared" si="16"/>
        <v>12</v>
      </c>
      <c r="R27" s="337">
        <f t="shared" si="16"/>
        <v>13</v>
      </c>
      <c r="S27" s="337">
        <f t="shared" si="16"/>
        <v>13</v>
      </c>
      <c r="T27" s="337">
        <f t="shared" si="16"/>
        <v>13</v>
      </c>
      <c r="U27" s="337">
        <f t="shared" si="16"/>
        <v>13</v>
      </c>
      <c r="V27" s="338">
        <f t="shared" si="16"/>
        <v>8</v>
      </c>
      <c r="W27" s="339">
        <f t="shared" si="16"/>
        <v>8</v>
      </c>
      <c r="X27" s="336">
        <f t="shared" si="16"/>
        <v>13</v>
      </c>
      <c r="Y27" s="337">
        <f t="shared" si="16"/>
        <v>13</v>
      </c>
      <c r="AA27" s="345">
        <f t="shared" si="16"/>
        <v>9</v>
      </c>
      <c r="AB27" s="337">
        <f t="shared" si="16"/>
        <v>12</v>
      </c>
      <c r="AC27" s="338">
        <f t="shared" si="16"/>
        <v>8</v>
      </c>
      <c r="AD27" s="339">
        <f t="shared" si="16"/>
        <v>8</v>
      </c>
      <c r="AE27" s="326">
        <f t="shared" si="16"/>
        <v>13</v>
      </c>
      <c r="AF27" s="480">
        <f t="shared" si="16"/>
        <v>14</v>
      </c>
      <c r="AG27" s="479">
        <f t="shared" si="16"/>
        <v>13</v>
      </c>
      <c r="AH27" s="40"/>
      <c r="AI27" s="71"/>
      <c r="AJ27" s="40"/>
      <c r="AK27" s="71"/>
      <c r="AL27" s="40"/>
      <c r="AM27" s="40"/>
      <c r="AN27" s="40"/>
      <c r="AO27" s="40"/>
      <c r="AP27" s="41"/>
      <c r="AQ27" s="42"/>
      <c r="AR27" s="42"/>
      <c r="AS27" s="42"/>
      <c r="AT27" s="42"/>
    </row>
    <row r="28" spans="1:47" ht="16.5" customHeight="1">
      <c r="A28" s="28" t="s">
        <v>62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9"/>
      <c r="Q28" s="28"/>
      <c r="R28" s="28"/>
      <c r="S28" s="28"/>
      <c r="T28" s="28"/>
      <c r="U28" s="28"/>
      <c r="V28" s="28"/>
      <c r="W28" s="28"/>
      <c r="X28" s="28"/>
      <c r="Y28" s="28"/>
      <c r="Z28" s="337">
        <f>COUNTIF(Z8:Z26,"A")+COUNTIF(Z8:Z26,"B")+COUNTIF(Z8:Z26,"C")+COUNTIF(Z8:Z26,"A2")+COUNTIF(Z8:Z26,"A3")+COUNTIF(Z8:Z26,"A1")+COUNTIF(Z8:Z26,"A4")+COUNTIF(Z8:Z26,"B2")+COUNTIF(Z8:Z26,"B1")+COUNTIF(Z8:Z26,"C2")+COUNTIF(Z8:Z26,"C1")+COUNTIF(Z8:Z26,"C3")+COUNTIF(Z8:Z26,"C4")</f>
        <v>14</v>
      </c>
      <c r="AA28" s="28"/>
      <c r="AB28" s="28"/>
      <c r="AC28" s="28"/>
      <c r="AD28" s="28"/>
      <c r="AE28" s="28"/>
      <c r="AF28" s="28"/>
      <c r="AG28" s="28"/>
      <c r="AH28" s="22" t="s">
        <v>63</v>
      </c>
      <c r="AI28" s="72"/>
      <c r="AJ28" s="20"/>
      <c r="AK28" s="22" t="s">
        <v>64</v>
      </c>
      <c r="AL28" s="27"/>
      <c r="AM28" s="26"/>
      <c r="AN28" s="22"/>
      <c r="AO28" s="22" t="s">
        <v>65</v>
      </c>
      <c r="AP28" s="22"/>
      <c r="AQ28" s="26"/>
      <c r="AR28" s="19"/>
      <c r="AS28" s="734"/>
      <c r="AT28" s="734"/>
    </row>
    <row r="29" spans="1:47" ht="16.5" customHeight="1">
      <c r="A29" s="31" t="s">
        <v>66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H29" s="34" t="s">
        <v>44</v>
      </c>
      <c r="AI29" s="28"/>
      <c r="AJ29" s="35" t="s">
        <v>44</v>
      </c>
      <c r="AK29" s="72"/>
      <c r="AL29" s="24" t="s">
        <v>37</v>
      </c>
      <c r="AM29" s="57"/>
      <c r="AN29" s="36" t="s">
        <v>44</v>
      </c>
      <c r="AO29" s="21"/>
      <c r="AP29" s="25"/>
      <c r="AQ29" s="19"/>
      <c r="AR29" s="19"/>
      <c r="AS29" s="734"/>
      <c r="AT29" s="734"/>
    </row>
    <row r="30" spans="1:47" ht="12.75" customHeight="1">
      <c r="A30" s="30"/>
      <c r="B30" s="31" t="s">
        <v>67</v>
      </c>
      <c r="C30" s="21"/>
      <c r="D30" s="21"/>
      <c r="E30" s="21"/>
      <c r="F30" s="21"/>
      <c r="G30" s="21"/>
      <c r="H30" s="21"/>
      <c r="I30" s="21"/>
      <c r="J30" s="31" t="s">
        <v>68</v>
      </c>
      <c r="K30" s="32"/>
      <c r="L30" s="32"/>
      <c r="M30" s="21"/>
      <c r="P30" s="21"/>
      <c r="Q30" s="21"/>
      <c r="R30" s="21"/>
      <c r="S30" s="33" t="s">
        <v>69</v>
      </c>
      <c r="T30" s="21"/>
      <c r="U30" s="21"/>
      <c r="V30" s="21"/>
      <c r="W30" s="21"/>
      <c r="X30" s="21"/>
      <c r="Y30" s="21"/>
      <c r="AH30" s="23" t="s">
        <v>70</v>
      </c>
      <c r="AI30" s="23"/>
      <c r="AJ30" s="23" t="s">
        <v>71</v>
      </c>
      <c r="AK30" s="2"/>
      <c r="AL30" s="2"/>
      <c r="AM30" s="2"/>
      <c r="AN30" s="722" t="s">
        <v>72</v>
      </c>
      <c r="AO30" s="722"/>
      <c r="AP30" s="722"/>
      <c r="AQ30" s="722"/>
      <c r="AR30" s="722"/>
      <c r="AS30" s="722"/>
      <c r="AT30" s="2"/>
    </row>
    <row r="31" spans="1:47" ht="12" customHeight="1">
      <c r="A31" s="723" t="s">
        <v>73</v>
      </c>
      <c r="B31" s="723"/>
      <c r="C31" s="723"/>
      <c r="D31" s="723"/>
      <c r="E31" s="723"/>
      <c r="F31" s="723"/>
      <c r="G31" s="723"/>
      <c r="H31" s="723"/>
      <c r="I31" s="723"/>
      <c r="J31" s="723"/>
      <c r="K31" s="723"/>
      <c r="L31" s="723"/>
      <c r="M31" s="723"/>
      <c r="N31" s="723"/>
      <c r="O31" s="723"/>
      <c r="P31" s="723"/>
      <c r="Q31" s="723"/>
      <c r="R31" s="723"/>
      <c r="S31" s="723"/>
      <c r="T31" s="723"/>
      <c r="U31" s="723"/>
      <c r="V31" s="723"/>
      <c r="W31" s="723"/>
      <c r="X31" s="723"/>
      <c r="Y31" s="723"/>
      <c r="Z31" s="723"/>
      <c r="AA31" s="723"/>
      <c r="AB31" s="723"/>
      <c r="AC31" s="723"/>
      <c r="AD31" s="723"/>
      <c r="AE31" s="723"/>
      <c r="AF31" s="723"/>
      <c r="AG31" s="723"/>
      <c r="AH31" s="723"/>
      <c r="AI31" s="723"/>
      <c r="AJ31" s="723"/>
      <c r="AK31" s="723"/>
      <c r="AL31" s="723"/>
      <c r="AM31" s="723"/>
      <c r="AN31" s="723"/>
      <c r="AO31" s="723"/>
      <c r="AP31" s="723"/>
      <c r="AQ31" s="723"/>
      <c r="AR31" s="723"/>
      <c r="AS31" s="723"/>
      <c r="AT31" s="723"/>
    </row>
    <row r="32" spans="1:47" ht="12" customHeight="1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3"/>
      <c r="P32" s="723"/>
      <c r="Q32" s="723"/>
      <c r="R32" s="723"/>
      <c r="S32" s="723"/>
      <c r="T32" s="723"/>
      <c r="U32" s="723"/>
      <c r="V32" s="723"/>
      <c r="W32" s="723"/>
      <c r="X32" s="723"/>
      <c r="Y32" s="723"/>
      <c r="Z32" s="723"/>
      <c r="AA32" s="723"/>
      <c r="AB32" s="723"/>
      <c r="AC32" s="723"/>
      <c r="AD32" s="723"/>
      <c r="AE32" s="723"/>
      <c r="AF32" s="723"/>
      <c r="AG32" s="723"/>
      <c r="AH32" s="723"/>
      <c r="AI32" s="723"/>
      <c r="AJ32" s="723"/>
      <c r="AK32" s="723"/>
      <c r="AL32" s="723"/>
      <c r="AM32" s="723"/>
      <c r="AN32" s="723"/>
      <c r="AO32" s="723"/>
      <c r="AP32" s="723"/>
      <c r="AQ32" s="723"/>
      <c r="AR32" s="723"/>
      <c r="AS32" s="723"/>
      <c r="AT32" s="723"/>
    </row>
    <row r="33" spans="1:46" ht="18.75" customHeight="1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3"/>
      <c r="P33" s="723"/>
      <c r="Q33" s="723"/>
      <c r="R33" s="723"/>
      <c r="S33" s="723"/>
      <c r="T33" s="723"/>
      <c r="U33" s="723"/>
      <c r="V33" s="723"/>
      <c r="W33" s="723"/>
      <c r="X33" s="723"/>
      <c r="Y33" s="723"/>
      <c r="Z33" s="723"/>
      <c r="AA33" s="723"/>
      <c r="AB33" s="723"/>
      <c r="AC33" s="723"/>
      <c r="AD33" s="723"/>
      <c r="AE33" s="723"/>
      <c r="AF33" s="723"/>
      <c r="AG33" s="723"/>
      <c r="AH33" s="723"/>
      <c r="AI33" s="723"/>
      <c r="AJ33" s="723"/>
      <c r="AK33" s="723"/>
      <c r="AL33" s="723"/>
      <c r="AM33" s="723"/>
      <c r="AN33" s="723"/>
      <c r="AO33" s="723"/>
      <c r="AP33" s="723"/>
      <c r="AQ33" s="723"/>
      <c r="AR33" s="723"/>
      <c r="AS33" s="723"/>
      <c r="AT33" s="723"/>
    </row>
    <row r="34" spans="1:46" ht="12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2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2" customHeight="1">
      <c r="A36" s="45" t="s">
        <v>74</v>
      </c>
      <c r="B36" s="46"/>
      <c r="C36" s="46">
        <f t="shared" ref="C36:AG36" si="17">COUNTIF(C3:C26,"A")+COUNTIF(C3:C26,"A1")+COUNTIF(C3:C26,"A2")+COUNTIF(C3:C26,"A3")+COUNTIF(C3:C26,"A4")</f>
        <v>4</v>
      </c>
      <c r="D36" s="46">
        <f t="shared" si="17"/>
        <v>4</v>
      </c>
      <c r="E36" s="46">
        <f t="shared" si="17"/>
        <v>4</v>
      </c>
      <c r="F36" s="46">
        <f t="shared" si="17"/>
        <v>5</v>
      </c>
      <c r="G36" s="46">
        <f t="shared" si="17"/>
        <v>4</v>
      </c>
      <c r="H36" s="50">
        <f t="shared" si="17"/>
        <v>4</v>
      </c>
      <c r="I36" s="51">
        <f t="shared" si="17"/>
        <v>4</v>
      </c>
      <c r="J36" s="46">
        <f t="shared" si="17"/>
        <v>4</v>
      </c>
      <c r="K36" s="46">
        <f t="shared" si="17"/>
        <v>4</v>
      </c>
      <c r="L36" s="46">
        <f t="shared" si="17"/>
        <v>4</v>
      </c>
      <c r="M36" s="46">
        <f t="shared" si="17"/>
        <v>4</v>
      </c>
      <c r="N36" s="46">
        <f t="shared" si="17"/>
        <v>4</v>
      </c>
      <c r="O36" s="50">
        <f t="shared" si="17"/>
        <v>4</v>
      </c>
      <c r="P36" s="51">
        <f t="shared" si="17"/>
        <v>4</v>
      </c>
      <c r="Q36" s="46">
        <f t="shared" si="17"/>
        <v>4</v>
      </c>
      <c r="R36" s="46">
        <f t="shared" si="17"/>
        <v>5</v>
      </c>
      <c r="S36" s="46">
        <f t="shared" si="17"/>
        <v>5</v>
      </c>
      <c r="T36" s="46">
        <f t="shared" si="17"/>
        <v>4</v>
      </c>
      <c r="U36" s="46">
        <f t="shared" si="17"/>
        <v>4</v>
      </c>
      <c r="V36" s="50">
        <f t="shared" si="17"/>
        <v>4</v>
      </c>
      <c r="W36" s="51">
        <f t="shared" si="17"/>
        <v>4</v>
      </c>
      <c r="X36" s="46">
        <f t="shared" si="17"/>
        <v>4</v>
      </c>
      <c r="Y36" s="46">
        <f t="shared" si="17"/>
        <v>5</v>
      </c>
      <c r="Z36" s="46">
        <f t="shared" si="17"/>
        <v>5</v>
      </c>
      <c r="AA36" s="51">
        <f t="shared" si="17"/>
        <v>4</v>
      </c>
      <c r="AB36" s="46">
        <f t="shared" si="17"/>
        <v>4</v>
      </c>
      <c r="AC36" s="50">
        <f t="shared" si="17"/>
        <v>4</v>
      </c>
      <c r="AD36" s="51">
        <f t="shared" si="17"/>
        <v>4</v>
      </c>
      <c r="AE36" s="46">
        <f t="shared" si="17"/>
        <v>4</v>
      </c>
      <c r="AF36" s="46">
        <f t="shared" ref="AF36" si="18">COUNTIF(AF3:AF26,"A")+COUNTIF(AF3:AF26,"A1")+COUNTIF(AF3:AF26,"A2")+COUNTIF(AF3:AF26,"A3")+COUNTIF(AF3:AF26,"A4")</f>
        <v>5</v>
      </c>
      <c r="AG36" s="46">
        <f t="shared" si="17"/>
        <v>4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2" customHeight="1">
      <c r="A37" s="45" t="s">
        <v>75</v>
      </c>
      <c r="B37" s="46"/>
      <c r="C37" s="46">
        <f t="shared" ref="C37:AG37" si="19">COUNTIF(C3:C26,"B")+COUNTIF(C3:C26,"B1")+COUNTIF(C3:C26,"B2")+COUNTIF(C3:C26,"B3")+COUNTIF(C3:C26,"B4")</f>
        <v>2</v>
      </c>
      <c r="D37" s="46">
        <f t="shared" si="19"/>
        <v>3</v>
      </c>
      <c r="E37" s="46">
        <f t="shared" si="19"/>
        <v>2</v>
      </c>
      <c r="F37" s="46">
        <f t="shared" si="19"/>
        <v>2</v>
      </c>
      <c r="G37" s="46">
        <f t="shared" si="19"/>
        <v>3</v>
      </c>
      <c r="H37" s="50">
        <f t="shared" si="19"/>
        <v>2</v>
      </c>
      <c r="I37" s="51">
        <f t="shared" si="19"/>
        <v>2</v>
      </c>
      <c r="J37" s="46">
        <f t="shared" si="19"/>
        <v>2</v>
      </c>
      <c r="K37" s="46">
        <f t="shared" si="19"/>
        <v>2</v>
      </c>
      <c r="L37" s="46">
        <f t="shared" si="19"/>
        <v>2</v>
      </c>
      <c r="M37" s="46">
        <f t="shared" si="19"/>
        <v>2</v>
      </c>
      <c r="N37" s="46">
        <f t="shared" si="19"/>
        <v>2</v>
      </c>
      <c r="O37" s="50">
        <f t="shared" si="19"/>
        <v>2</v>
      </c>
      <c r="P37" s="51">
        <f t="shared" si="19"/>
        <v>2</v>
      </c>
      <c r="Q37" s="46">
        <f t="shared" si="19"/>
        <v>2</v>
      </c>
      <c r="R37" s="46">
        <f t="shared" si="19"/>
        <v>2</v>
      </c>
      <c r="S37" s="46">
        <f t="shared" si="19"/>
        <v>2</v>
      </c>
      <c r="T37" s="46">
        <f t="shared" si="19"/>
        <v>3</v>
      </c>
      <c r="U37" s="46">
        <f t="shared" si="19"/>
        <v>3</v>
      </c>
      <c r="V37" s="50">
        <f t="shared" si="19"/>
        <v>2</v>
      </c>
      <c r="W37" s="51">
        <f t="shared" si="19"/>
        <v>2</v>
      </c>
      <c r="X37" s="46">
        <f t="shared" si="19"/>
        <v>2</v>
      </c>
      <c r="Y37" s="46">
        <f t="shared" si="19"/>
        <v>2</v>
      </c>
      <c r="Z37" s="46">
        <f t="shared" si="19"/>
        <v>2</v>
      </c>
      <c r="AA37" s="51">
        <f t="shared" si="19"/>
        <v>3</v>
      </c>
      <c r="AB37" s="46">
        <f t="shared" si="19"/>
        <v>3</v>
      </c>
      <c r="AC37" s="50">
        <f t="shared" si="19"/>
        <v>2</v>
      </c>
      <c r="AD37" s="51">
        <f t="shared" si="19"/>
        <v>2</v>
      </c>
      <c r="AE37" s="46">
        <f t="shared" si="19"/>
        <v>2</v>
      </c>
      <c r="AF37" s="46">
        <f t="shared" ref="AF37" si="20">COUNTIF(AF3:AF26,"B")+COUNTIF(AF3:AF26,"B1")+COUNTIF(AF3:AF26,"B2")+COUNTIF(AF3:AF26,"B3")+COUNTIF(AF3:AF26,"B4")</f>
        <v>2</v>
      </c>
      <c r="AG37" s="46">
        <f t="shared" si="19"/>
        <v>3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2" customHeight="1">
      <c r="A38" s="45" t="s">
        <v>76</v>
      </c>
      <c r="B38" s="46"/>
      <c r="C38" s="46">
        <f t="shared" ref="C38:AG38" si="21">COUNTIF(C3:C26,"C")+COUNTIF(C3:C26,"C1")+COUNTIF(C3:C26,"C2")+COUNTIF(C3:C26,"C3")+COUNTIF(C3:C26,"C4")</f>
        <v>6</v>
      </c>
      <c r="D38" s="46">
        <f t="shared" si="21"/>
        <v>6</v>
      </c>
      <c r="E38" s="46">
        <f t="shared" si="21"/>
        <v>7</v>
      </c>
      <c r="F38" s="46">
        <f t="shared" si="21"/>
        <v>6</v>
      </c>
      <c r="G38" s="46">
        <f t="shared" si="21"/>
        <v>6</v>
      </c>
      <c r="H38" s="50">
        <f t="shared" si="21"/>
        <v>2</v>
      </c>
      <c r="I38" s="51">
        <f t="shared" si="21"/>
        <v>2</v>
      </c>
      <c r="J38" s="46">
        <f t="shared" si="21"/>
        <v>6</v>
      </c>
      <c r="K38" s="46">
        <f t="shared" si="21"/>
        <v>7</v>
      </c>
      <c r="L38" s="46">
        <f t="shared" si="21"/>
        <v>8</v>
      </c>
      <c r="M38" s="46">
        <f t="shared" si="21"/>
        <v>8</v>
      </c>
      <c r="N38" s="46">
        <f t="shared" si="21"/>
        <v>8</v>
      </c>
      <c r="O38" s="50">
        <f t="shared" si="21"/>
        <v>2</v>
      </c>
      <c r="P38" s="51">
        <f t="shared" si="21"/>
        <v>2</v>
      </c>
      <c r="Q38" s="46">
        <f t="shared" si="21"/>
        <v>6</v>
      </c>
      <c r="R38" s="46">
        <f t="shared" si="21"/>
        <v>6</v>
      </c>
      <c r="S38" s="46">
        <f t="shared" si="21"/>
        <v>6</v>
      </c>
      <c r="T38" s="46">
        <f t="shared" si="21"/>
        <v>6</v>
      </c>
      <c r="U38" s="46">
        <f t="shared" si="21"/>
        <v>6</v>
      </c>
      <c r="V38" s="50">
        <f t="shared" si="21"/>
        <v>2</v>
      </c>
      <c r="W38" s="51">
        <f t="shared" si="21"/>
        <v>2</v>
      </c>
      <c r="X38" s="46">
        <f t="shared" si="21"/>
        <v>7</v>
      </c>
      <c r="Y38" s="46">
        <f t="shared" si="21"/>
        <v>6</v>
      </c>
      <c r="Z38" s="46">
        <f t="shared" si="21"/>
        <v>7</v>
      </c>
      <c r="AA38" s="51">
        <f t="shared" si="21"/>
        <v>2</v>
      </c>
      <c r="AB38" s="46">
        <f t="shared" si="21"/>
        <v>5</v>
      </c>
      <c r="AC38" s="50">
        <f t="shared" si="21"/>
        <v>2</v>
      </c>
      <c r="AD38" s="51">
        <f t="shared" si="21"/>
        <v>2</v>
      </c>
      <c r="AE38" s="46">
        <f t="shared" si="21"/>
        <v>7</v>
      </c>
      <c r="AF38" s="46">
        <f t="shared" ref="AF38" si="22">COUNTIF(AF3:AF26,"C")+COUNTIF(AF3:AF26,"C1")+COUNTIF(AF3:AF26,"C2")+COUNTIF(AF3:AF26,"C3")+COUNTIF(AF3:AF26,"C4")</f>
        <v>7</v>
      </c>
      <c r="AG38" s="46">
        <f t="shared" si="21"/>
        <v>6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2" customHeight="1">
      <c r="A39" s="45" t="s">
        <v>77</v>
      </c>
      <c r="B39" s="46"/>
      <c r="C39" s="46">
        <f t="shared" ref="C39:AG39" si="23">COUNTIF(C3:C26,"N")+COUNTIF(C3:C26,"N1")+COUNTIF(C3:C26,"N2")+COUNTIF(C3:C26,"N3")+COUNTIF(C3:C26,"N4")</f>
        <v>2</v>
      </c>
      <c r="D39" s="46">
        <f t="shared" si="23"/>
        <v>2</v>
      </c>
      <c r="E39" s="46">
        <f t="shared" si="23"/>
        <v>2</v>
      </c>
      <c r="F39" s="46">
        <f t="shared" si="23"/>
        <v>2</v>
      </c>
      <c r="G39" s="46">
        <f t="shared" si="23"/>
        <v>2</v>
      </c>
      <c r="H39" s="50">
        <f t="shared" si="23"/>
        <v>4</v>
      </c>
      <c r="I39" s="51">
        <f t="shared" si="23"/>
        <v>2</v>
      </c>
      <c r="J39" s="46">
        <f t="shared" si="23"/>
        <v>2</v>
      </c>
      <c r="K39" s="46">
        <f t="shared" si="23"/>
        <v>2</v>
      </c>
      <c r="L39" s="46">
        <f t="shared" si="23"/>
        <v>2</v>
      </c>
      <c r="M39" s="46">
        <f t="shared" si="23"/>
        <v>2</v>
      </c>
      <c r="N39" s="46">
        <f t="shared" si="23"/>
        <v>2</v>
      </c>
      <c r="O39" s="50">
        <f t="shared" si="23"/>
        <v>2</v>
      </c>
      <c r="P39" s="51">
        <f t="shared" si="23"/>
        <v>4</v>
      </c>
      <c r="Q39" s="46">
        <f t="shared" si="23"/>
        <v>2</v>
      </c>
      <c r="R39" s="46">
        <f t="shared" si="23"/>
        <v>2</v>
      </c>
      <c r="S39" s="46">
        <f t="shared" si="23"/>
        <v>2</v>
      </c>
      <c r="T39" s="46">
        <f t="shared" si="23"/>
        <v>2</v>
      </c>
      <c r="U39" s="46">
        <f t="shared" si="23"/>
        <v>3</v>
      </c>
      <c r="V39" s="50">
        <f t="shared" si="23"/>
        <v>2</v>
      </c>
      <c r="W39" s="51">
        <f t="shared" si="23"/>
        <v>2</v>
      </c>
      <c r="X39" s="46">
        <f t="shared" si="23"/>
        <v>3</v>
      </c>
      <c r="Y39" s="46">
        <f t="shared" si="23"/>
        <v>2</v>
      </c>
      <c r="Z39" s="46">
        <f t="shared" si="23"/>
        <v>2</v>
      </c>
      <c r="AA39" s="51">
        <f t="shared" si="23"/>
        <v>2</v>
      </c>
      <c r="AB39" s="46">
        <f t="shared" si="23"/>
        <v>3</v>
      </c>
      <c r="AC39" s="50">
        <f t="shared" si="23"/>
        <v>3</v>
      </c>
      <c r="AD39" s="51">
        <f t="shared" si="23"/>
        <v>2</v>
      </c>
      <c r="AE39" s="46">
        <f t="shared" si="23"/>
        <v>2</v>
      </c>
      <c r="AF39" s="46">
        <f t="shared" ref="AF39" si="24">COUNTIF(AF3:AF26,"N")+COUNTIF(AF3:AF26,"N1")+COUNTIF(AF3:AF26,"N2")+COUNTIF(AF3:AF26,"N3")+COUNTIF(AF3:AF26,"N4")</f>
        <v>2</v>
      </c>
      <c r="AG39" s="46">
        <f t="shared" si="23"/>
        <v>3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2" customHeight="1">
      <c r="A40" s="46" t="s">
        <v>78</v>
      </c>
      <c r="B40" s="46"/>
      <c r="C40" s="46">
        <f>SUM(C36:C39)</f>
        <v>14</v>
      </c>
      <c r="D40" s="46">
        <f t="shared" ref="D40:AG40" si="25">SUM(D36:D39)</f>
        <v>15</v>
      </c>
      <c r="E40" s="46">
        <f t="shared" si="25"/>
        <v>15</v>
      </c>
      <c r="F40" s="46">
        <f t="shared" si="25"/>
        <v>15</v>
      </c>
      <c r="G40" s="46">
        <f t="shared" si="25"/>
        <v>15</v>
      </c>
      <c r="H40" s="50">
        <f t="shared" si="25"/>
        <v>12</v>
      </c>
      <c r="I40" s="51">
        <f t="shared" si="25"/>
        <v>10</v>
      </c>
      <c r="J40" s="46">
        <f t="shared" si="25"/>
        <v>14</v>
      </c>
      <c r="K40" s="46">
        <f t="shared" si="25"/>
        <v>15</v>
      </c>
      <c r="L40" s="46">
        <f t="shared" si="25"/>
        <v>16</v>
      </c>
      <c r="M40" s="46">
        <f t="shared" si="25"/>
        <v>16</v>
      </c>
      <c r="N40" s="46">
        <f t="shared" si="25"/>
        <v>16</v>
      </c>
      <c r="O40" s="50">
        <f t="shared" si="25"/>
        <v>10</v>
      </c>
      <c r="P40" s="51">
        <f t="shared" si="25"/>
        <v>12</v>
      </c>
      <c r="Q40" s="46">
        <f t="shared" si="25"/>
        <v>14</v>
      </c>
      <c r="R40" s="46">
        <f t="shared" si="25"/>
        <v>15</v>
      </c>
      <c r="S40" s="46">
        <f t="shared" si="25"/>
        <v>15</v>
      </c>
      <c r="T40" s="46">
        <f t="shared" si="25"/>
        <v>15</v>
      </c>
      <c r="U40" s="46">
        <f t="shared" si="25"/>
        <v>16</v>
      </c>
      <c r="V40" s="50">
        <f t="shared" si="25"/>
        <v>10</v>
      </c>
      <c r="W40" s="51">
        <f t="shared" si="25"/>
        <v>10</v>
      </c>
      <c r="X40" s="46">
        <f t="shared" si="25"/>
        <v>16</v>
      </c>
      <c r="Y40" s="46">
        <f>SUM(Y36:Y39)</f>
        <v>15</v>
      </c>
      <c r="Z40" s="46">
        <f t="shared" si="25"/>
        <v>16</v>
      </c>
      <c r="AA40" s="51">
        <f t="shared" si="25"/>
        <v>11</v>
      </c>
      <c r="AB40" s="46">
        <f t="shared" si="25"/>
        <v>15</v>
      </c>
      <c r="AC40" s="50">
        <f t="shared" si="25"/>
        <v>11</v>
      </c>
      <c r="AD40" s="51">
        <f t="shared" si="25"/>
        <v>10</v>
      </c>
      <c r="AE40" s="46">
        <f t="shared" si="25"/>
        <v>15</v>
      </c>
      <c r="AF40" s="46">
        <f t="shared" ref="AF40" si="26">SUM(AF36:AF39)</f>
        <v>16</v>
      </c>
      <c r="AG40" s="46">
        <f t="shared" si="25"/>
        <v>16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</sheetData>
  <mergeCells count="33">
    <mergeCell ref="AN30:AS30"/>
    <mergeCell ref="A31:AT33"/>
    <mergeCell ref="D4:D5"/>
    <mergeCell ref="G4:G5"/>
    <mergeCell ref="H4:H5"/>
    <mergeCell ref="X4:X5"/>
    <mergeCell ref="R4:R5"/>
    <mergeCell ref="W5:W6"/>
    <mergeCell ref="AQ4:AQ6"/>
    <mergeCell ref="AR4:AR6"/>
    <mergeCell ref="AS4:AS6"/>
    <mergeCell ref="AT4:AT6"/>
    <mergeCell ref="A8:A26"/>
    <mergeCell ref="AS28:AT29"/>
    <mergeCell ref="AK4:AK6"/>
    <mergeCell ref="AL4:AL6"/>
    <mergeCell ref="AM4:AM6"/>
    <mergeCell ref="AN4:AN6"/>
    <mergeCell ref="AO4:AO6"/>
    <mergeCell ref="AP4:AP6"/>
    <mergeCell ref="A4:A6"/>
    <mergeCell ref="B4:B6"/>
    <mergeCell ref="AH4:AH6"/>
    <mergeCell ref="AI4:AI6"/>
    <mergeCell ref="AJ4:AJ6"/>
    <mergeCell ref="A1:AT1"/>
    <mergeCell ref="A2:A3"/>
    <mergeCell ref="AH2:AO2"/>
    <mergeCell ref="AP2:AP3"/>
    <mergeCell ref="AQ2:AQ3"/>
    <mergeCell ref="AR2:AR3"/>
    <mergeCell ref="AS2:AS3"/>
    <mergeCell ref="AT2:AT3"/>
  </mergeCells>
  <phoneticPr fontId="2" type="noConversion"/>
  <conditionalFormatting sqref="AH7:AO27">
    <cfRule type="cellIs" dxfId="1" priority="1" stopIfTrue="1" operator="equal">
      <formula>"N"</formula>
    </cfRule>
  </conditionalFormatting>
  <printOptions horizontalCentered="1" verticalCentered="1"/>
  <pageMargins left="0.25979166666666664" right="0.39347222447395325" top="9.6250000000000002E-2" bottom="0.27541667222976685" header="0" footer="0"/>
  <pageSetup paperSize="9" scale="6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086D1-9926-4586-9290-B728F7E3F9E9}">
  <sheetPr>
    <pageSetUpPr fitToPage="1"/>
  </sheetPr>
  <dimension ref="A1:CR79"/>
  <sheetViews>
    <sheetView showGridLines="0" tabSelected="1" view="pageLayout" zoomScale="85" zoomScaleNormal="100" zoomScalePageLayoutView="85" workbookViewId="0">
      <selection activeCell="T20" sqref="T20"/>
    </sheetView>
  </sheetViews>
  <sheetFormatPr defaultColWidth="1.125" defaultRowHeight="15" customHeight="1"/>
  <cols>
    <col min="1" max="1" width="10.375" customWidth="1"/>
    <col min="2" max="2" width="7" customWidth="1"/>
    <col min="3" max="20" width="4.5" customWidth="1"/>
    <col min="21" max="21" width="4.625" customWidth="1"/>
    <col min="22" max="33" width="4.5" customWidth="1"/>
    <col min="34" max="37" width="3.625" customWidth="1"/>
    <col min="38" max="38" width="4.125" customWidth="1"/>
    <col min="39" max="41" width="3.625" customWidth="1"/>
    <col min="42" max="42" width="4.25" customWidth="1"/>
    <col min="43" max="43" width="6.625" bestFit="1" customWidth="1"/>
    <col min="44" max="44" width="5.75" customWidth="1"/>
    <col min="45" max="45" width="4.25" customWidth="1"/>
    <col min="46" max="46" width="5.625" customWidth="1"/>
    <col min="55" max="55" width="27.75" bestFit="1" customWidth="1"/>
    <col min="56" max="56" width="26.5" bestFit="1" customWidth="1"/>
  </cols>
  <sheetData>
    <row r="1" spans="1:96" ht="33" customHeight="1" thickBot="1">
      <c r="A1" s="709" t="s">
        <v>97</v>
      </c>
      <c r="B1" s="710"/>
      <c r="C1" s="710"/>
      <c r="D1" s="710"/>
      <c r="E1" s="710"/>
      <c r="F1" s="710"/>
      <c r="G1" s="710"/>
      <c r="H1" s="710"/>
      <c r="I1" s="710"/>
      <c r="J1" s="710"/>
      <c r="K1" s="710"/>
      <c r="L1" s="710"/>
      <c r="M1" s="710"/>
      <c r="N1" s="710"/>
      <c r="O1" s="710"/>
      <c r="P1" s="710"/>
      <c r="Q1" s="710"/>
      <c r="R1" s="710"/>
      <c r="S1" s="710"/>
      <c r="T1" s="710"/>
      <c r="U1" s="710"/>
      <c r="V1" s="710"/>
      <c r="W1" s="710"/>
      <c r="X1" s="710"/>
      <c r="Y1" s="710"/>
      <c r="Z1" s="710"/>
      <c r="AA1" s="710"/>
      <c r="AB1" s="710"/>
      <c r="AC1" s="710"/>
      <c r="AD1" s="710"/>
      <c r="AE1" s="710"/>
      <c r="AF1" s="710"/>
      <c r="AG1" s="710"/>
      <c r="AH1" s="709"/>
      <c r="AI1" s="709"/>
      <c r="AJ1" s="709"/>
      <c r="AK1" s="709"/>
      <c r="AL1" s="709"/>
      <c r="AM1" s="709"/>
      <c r="AN1" s="709"/>
      <c r="AO1" s="709"/>
      <c r="AP1" s="709"/>
      <c r="AQ1" s="709"/>
      <c r="AR1" s="709"/>
      <c r="AS1" s="709"/>
      <c r="AT1" s="709"/>
    </row>
    <row r="2" spans="1:96" ht="21.75" customHeight="1" thickBot="1">
      <c r="A2" s="711" t="s">
        <v>1</v>
      </c>
      <c r="B2" s="74" t="s">
        <v>2</v>
      </c>
      <c r="C2" s="571">
        <v>1</v>
      </c>
      <c r="D2" s="552">
        <v>2</v>
      </c>
      <c r="E2" s="596">
        <v>3</v>
      </c>
      <c r="F2" s="583">
        <v>4</v>
      </c>
      <c r="G2" s="552">
        <v>5</v>
      </c>
      <c r="H2" s="552">
        <v>6</v>
      </c>
      <c r="I2" s="552">
        <v>7</v>
      </c>
      <c r="J2" s="552">
        <v>8</v>
      </c>
      <c r="K2" s="552">
        <v>9</v>
      </c>
      <c r="L2" s="596">
        <v>10</v>
      </c>
      <c r="M2" s="583">
        <v>11</v>
      </c>
      <c r="N2" s="552">
        <v>12</v>
      </c>
      <c r="O2" s="552">
        <v>13</v>
      </c>
      <c r="P2" s="552">
        <v>14</v>
      </c>
      <c r="Q2" s="552">
        <v>15</v>
      </c>
      <c r="R2" s="552">
        <v>16</v>
      </c>
      <c r="S2" s="596">
        <v>17</v>
      </c>
      <c r="T2" s="583">
        <v>18</v>
      </c>
      <c r="U2" s="552">
        <v>19</v>
      </c>
      <c r="V2" s="552">
        <v>20</v>
      </c>
      <c r="W2" s="552">
        <v>21</v>
      </c>
      <c r="X2" s="552">
        <v>22</v>
      </c>
      <c r="Y2" s="552">
        <v>23</v>
      </c>
      <c r="Z2" s="596">
        <v>24</v>
      </c>
      <c r="AA2" s="583">
        <v>25</v>
      </c>
      <c r="AB2" s="552">
        <v>26</v>
      </c>
      <c r="AC2" s="552">
        <v>27</v>
      </c>
      <c r="AD2" s="552">
        <v>28</v>
      </c>
      <c r="AE2" s="552">
        <v>29</v>
      </c>
      <c r="AF2" s="552">
        <v>30</v>
      </c>
      <c r="AG2" s="606">
        <v>31</v>
      </c>
      <c r="AH2" s="713" t="s">
        <v>3</v>
      </c>
      <c r="AI2" s="714"/>
      <c r="AJ2" s="714"/>
      <c r="AK2" s="714"/>
      <c r="AL2" s="714"/>
      <c r="AM2" s="714"/>
      <c r="AN2" s="714"/>
      <c r="AO2" s="715"/>
      <c r="AP2" s="716" t="s">
        <v>4</v>
      </c>
      <c r="AQ2" s="718" t="s">
        <v>5</v>
      </c>
      <c r="AR2" s="718" t="s">
        <v>6</v>
      </c>
      <c r="AS2" s="718" t="s">
        <v>7</v>
      </c>
      <c r="AT2" s="720" t="s">
        <v>8</v>
      </c>
    </row>
    <row r="3" spans="1:96" ht="22.5" customHeight="1" thickBot="1">
      <c r="A3" s="712"/>
      <c r="B3" s="75" t="s">
        <v>9</v>
      </c>
      <c r="C3" s="572" t="s">
        <v>83</v>
      </c>
      <c r="D3" s="553" t="s">
        <v>84</v>
      </c>
      <c r="E3" s="597" t="s">
        <v>85</v>
      </c>
      <c r="F3" s="584" t="s">
        <v>86</v>
      </c>
      <c r="G3" s="553" t="s">
        <v>80</v>
      </c>
      <c r="H3" s="553" t="s">
        <v>81</v>
      </c>
      <c r="I3" s="553" t="s">
        <v>82</v>
      </c>
      <c r="J3" s="570" t="s">
        <v>15</v>
      </c>
      <c r="K3" s="553" t="s">
        <v>16</v>
      </c>
      <c r="L3" s="597" t="s">
        <v>10</v>
      </c>
      <c r="M3" s="584" t="s">
        <v>11</v>
      </c>
      <c r="N3" s="553" t="s">
        <v>12</v>
      </c>
      <c r="O3" s="553" t="s">
        <v>13</v>
      </c>
      <c r="P3" s="553" t="s">
        <v>14</v>
      </c>
      <c r="Q3" s="570" t="s">
        <v>15</v>
      </c>
      <c r="R3" s="553" t="s">
        <v>16</v>
      </c>
      <c r="S3" s="597" t="s">
        <v>10</v>
      </c>
      <c r="T3" s="584" t="s">
        <v>11</v>
      </c>
      <c r="U3" s="553" t="s">
        <v>12</v>
      </c>
      <c r="V3" s="553" t="s">
        <v>13</v>
      </c>
      <c r="W3" s="553" t="s">
        <v>14</v>
      </c>
      <c r="X3" s="570" t="s">
        <v>15</v>
      </c>
      <c r="Y3" s="553" t="s">
        <v>16</v>
      </c>
      <c r="Z3" s="597" t="s">
        <v>10</v>
      </c>
      <c r="AA3" s="584" t="s">
        <v>11</v>
      </c>
      <c r="AB3" s="553" t="s">
        <v>12</v>
      </c>
      <c r="AC3" s="553" t="s">
        <v>13</v>
      </c>
      <c r="AD3" s="553" t="s">
        <v>14</v>
      </c>
      <c r="AE3" s="570" t="s">
        <v>15</v>
      </c>
      <c r="AF3" s="553" t="s">
        <v>16</v>
      </c>
      <c r="AG3" s="616" t="s">
        <v>10</v>
      </c>
      <c r="AH3" s="3" t="s">
        <v>17</v>
      </c>
      <c r="AI3" s="73" t="s">
        <v>18</v>
      </c>
      <c r="AJ3" s="73" t="s">
        <v>19</v>
      </c>
      <c r="AK3" s="73" t="s">
        <v>20</v>
      </c>
      <c r="AL3" s="4" t="s">
        <v>21</v>
      </c>
      <c r="AM3" s="4" t="s">
        <v>22</v>
      </c>
      <c r="AN3" s="4" t="s">
        <v>23</v>
      </c>
      <c r="AO3" s="5" t="s">
        <v>24</v>
      </c>
      <c r="AP3" s="717"/>
      <c r="AQ3" s="719"/>
      <c r="AR3" s="719"/>
      <c r="AS3" s="719"/>
      <c r="AT3" s="721"/>
    </row>
    <row r="4" spans="1:96" ht="28.5" customHeight="1">
      <c r="A4" s="738" t="s">
        <v>107</v>
      </c>
      <c r="B4" s="741" t="s">
        <v>26</v>
      </c>
      <c r="C4" s="573"/>
      <c r="D4" s="554"/>
      <c r="E4" s="598"/>
      <c r="F4" s="595"/>
      <c r="G4" s="554"/>
      <c r="H4" s="554"/>
      <c r="I4" s="555"/>
      <c r="J4" s="556"/>
      <c r="K4" s="554"/>
      <c r="L4" s="598"/>
      <c r="M4" s="585"/>
      <c r="N4" s="555"/>
      <c r="O4" s="554"/>
      <c r="P4" s="555"/>
      <c r="Q4" s="554"/>
      <c r="R4" s="554"/>
      <c r="S4" s="598"/>
      <c r="T4" s="585"/>
      <c r="U4" s="555"/>
      <c r="V4" s="555"/>
      <c r="W4" s="555"/>
      <c r="X4" s="554"/>
      <c r="Y4" s="557"/>
      <c r="Z4" s="598"/>
      <c r="AA4" s="585"/>
      <c r="AB4" s="554"/>
      <c r="AC4" s="554"/>
      <c r="AD4" s="554"/>
      <c r="AE4" s="555"/>
      <c r="AF4" s="555"/>
      <c r="AG4" s="607"/>
      <c r="AH4" s="704" t="s">
        <v>31</v>
      </c>
      <c r="AI4" s="707" t="s">
        <v>31</v>
      </c>
      <c r="AJ4" s="707" t="s">
        <v>31</v>
      </c>
      <c r="AK4" s="707" t="s">
        <v>31</v>
      </c>
      <c r="AL4" s="704" t="s">
        <v>31</v>
      </c>
      <c r="AM4" s="704" t="s">
        <v>31</v>
      </c>
      <c r="AN4" s="704" t="s">
        <v>31</v>
      </c>
      <c r="AO4" s="704" t="s">
        <v>31</v>
      </c>
      <c r="AP4" s="735">
        <v>168</v>
      </c>
      <c r="AQ4" s="724"/>
      <c r="AR4" s="727" t="s">
        <v>32</v>
      </c>
      <c r="AS4" s="727"/>
      <c r="AT4" s="729"/>
    </row>
    <row r="5" spans="1:96" ht="28.5" customHeight="1">
      <c r="A5" s="739"/>
      <c r="B5" s="742"/>
      <c r="C5" s="574"/>
      <c r="D5" s="545"/>
      <c r="E5" s="599"/>
      <c r="F5" s="586"/>
      <c r="G5" s="545"/>
      <c r="H5" s="545"/>
      <c r="I5" s="545"/>
      <c r="J5" s="544"/>
      <c r="K5" s="545"/>
      <c r="L5" s="599"/>
      <c r="M5" s="586"/>
      <c r="N5" s="545"/>
      <c r="O5" s="545"/>
      <c r="P5" s="545"/>
      <c r="Q5" s="545"/>
      <c r="R5" s="545"/>
      <c r="S5" s="599"/>
      <c r="T5" s="592"/>
      <c r="U5" s="546"/>
      <c r="V5" s="546"/>
      <c r="W5" s="545"/>
      <c r="X5" s="545"/>
      <c r="Y5" s="547"/>
      <c r="Z5" s="599"/>
      <c r="AA5" s="586"/>
      <c r="AB5" s="545"/>
      <c r="AC5" s="545"/>
      <c r="AD5" s="545"/>
      <c r="AE5" s="546"/>
      <c r="AF5" s="546"/>
      <c r="AG5" s="608"/>
      <c r="AH5" s="705"/>
      <c r="AI5" s="708"/>
      <c r="AJ5" s="708"/>
      <c r="AK5" s="708"/>
      <c r="AL5" s="705"/>
      <c r="AM5" s="705"/>
      <c r="AN5" s="705"/>
      <c r="AO5" s="705"/>
      <c r="AP5" s="736"/>
      <c r="AQ5" s="725"/>
      <c r="AR5" s="728"/>
      <c r="AS5" s="728"/>
      <c r="AT5" s="730"/>
    </row>
    <row r="6" spans="1:96" ht="26.25" customHeight="1" thickBot="1">
      <c r="A6" s="740"/>
      <c r="B6" s="743"/>
      <c r="C6" s="575"/>
      <c r="D6" s="558"/>
      <c r="E6" s="600"/>
      <c r="F6" s="587"/>
      <c r="G6" s="558"/>
      <c r="H6" s="558"/>
      <c r="I6" s="558"/>
      <c r="J6" s="558"/>
      <c r="K6" s="559"/>
      <c r="L6" s="600"/>
      <c r="M6" s="587"/>
      <c r="N6" s="560"/>
      <c r="O6" s="558"/>
      <c r="P6" s="560"/>
      <c r="Q6" s="558"/>
      <c r="R6" s="558"/>
      <c r="S6" s="600"/>
      <c r="T6" s="593"/>
      <c r="U6" s="558"/>
      <c r="V6" s="560"/>
      <c r="W6" s="560"/>
      <c r="X6" s="561"/>
      <c r="Y6" s="558"/>
      <c r="Z6" s="600"/>
      <c r="AA6" s="587"/>
      <c r="AB6" s="558"/>
      <c r="AC6" s="560"/>
      <c r="AD6" s="558"/>
      <c r="AE6" s="558"/>
      <c r="AF6" s="558"/>
      <c r="AG6" s="609"/>
      <c r="AH6" s="706"/>
      <c r="AI6" s="706"/>
      <c r="AJ6" s="706"/>
      <c r="AK6" s="706"/>
      <c r="AL6" s="706"/>
      <c r="AM6" s="706"/>
      <c r="AN6" s="706"/>
      <c r="AO6" s="706"/>
      <c r="AP6" s="737"/>
      <c r="AQ6" s="726"/>
      <c r="AR6" s="726"/>
      <c r="AS6" s="726"/>
      <c r="AT6" s="731"/>
    </row>
    <row r="7" spans="1:96" ht="26.25" hidden="1" customHeight="1">
      <c r="A7" s="94"/>
      <c r="B7" s="95" t="s">
        <v>33</v>
      </c>
      <c r="C7" s="576"/>
      <c r="D7" s="563"/>
      <c r="E7" s="601"/>
      <c r="F7" s="588"/>
      <c r="G7" s="564"/>
      <c r="H7" s="564"/>
      <c r="I7" s="564"/>
      <c r="J7" s="564"/>
      <c r="K7" s="565"/>
      <c r="L7" s="601"/>
      <c r="M7" s="588"/>
      <c r="N7" s="564"/>
      <c r="O7" s="563"/>
      <c r="P7" s="564"/>
      <c r="Q7" s="564"/>
      <c r="R7" s="564"/>
      <c r="S7" s="601"/>
      <c r="T7" s="588"/>
      <c r="U7" s="564"/>
      <c r="V7" s="563"/>
      <c r="W7" s="564"/>
      <c r="X7" s="562"/>
      <c r="Y7" s="564"/>
      <c r="Z7" s="601"/>
      <c r="AA7" s="588"/>
      <c r="AB7" s="564"/>
      <c r="AC7" s="564"/>
      <c r="AD7" s="564"/>
      <c r="AE7" s="564"/>
      <c r="AF7" s="564"/>
      <c r="AG7" s="601"/>
      <c r="AH7" s="6">
        <f t="shared" ref="AH7:AH26" si="0">COUNTIF(C7:AG7,"A")+COUNTIF(C7:AG7,"A1")+COUNTIF(C7:AG7,"A2")+COUNTIF(C7:AG7,"A3")+COUNTIF(C7:AG7,"A4")</f>
        <v>0</v>
      </c>
      <c r="AI7" s="7">
        <f t="shared" ref="AI7:AI26" si="1">COUNTIF(C7:AG7,"B")+COUNTIF(C7:AG7,"B1")+COUNTIF(C7:AG7,"B2")+COUNTIF(C7:AG7,"B3")+COUNTIF(C7:AG7,"B4")</f>
        <v>0</v>
      </c>
      <c r="AJ7" s="47">
        <f t="shared" ref="AJ7:AJ26" si="2">COUNTIF(C7:AG7,"C")+COUNTIF(C7:AG7,"C1")+COUNTIF(C7:AG7,"C2")+COUNTIF(C7:AG7,"C3")+COUNTIF(C7:AG7,"C4")</f>
        <v>0</v>
      </c>
      <c r="AK7" s="7">
        <f t="shared" ref="AK7:AK26" si="3">COUNTIF(C7:AG7,"N")+COUNTIF(C7:AG7,"N1")</f>
        <v>0</v>
      </c>
      <c r="AL7" s="47">
        <f t="shared" ref="AL7:AL26" si="4">COUNTIF(C7:AG7,"대휴")</f>
        <v>0</v>
      </c>
      <c r="AM7" s="7">
        <f t="shared" ref="AM7:AM26" si="5">COUNTIF(C7:AG7,"주휴")</f>
        <v>0</v>
      </c>
      <c r="AN7" s="7">
        <f t="shared" ref="AN7:AN16" si="6">COUNTIF(C7:AG7,"")</f>
        <v>31</v>
      </c>
      <c r="AO7" s="8">
        <f t="shared" ref="AO7:AO26" si="7">COUNTIF(C7:AG7,"휴가")</f>
        <v>0</v>
      </c>
      <c r="AP7" s="9">
        <f>(AH7*8)+(AI7*8)+(AJ7*8)+(AK7*8)+(AO7*8)+6</f>
        <v>6</v>
      </c>
      <c r="AQ7" s="10">
        <f>SUM(AP7-$AP$4)</f>
        <v>-162</v>
      </c>
      <c r="AR7" s="10">
        <f t="shared" ref="AR7:AR10" si="8">(AK7*3)</f>
        <v>0</v>
      </c>
      <c r="AS7" s="10"/>
      <c r="AT7" s="11">
        <f t="shared" ref="AT7:AT10" si="9">SUM(AQ7:AS7)</f>
        <v>-162</v>
      </c>
    </row>
    <row r="8" spans="1:96" ht="26.25" customHeight="1" thickBot="1">
      <c r="A8" s="732" t="s">
        <v>34</v>
      </c>
      <c r="B8" s="653" t="s">
        <v>103</v>
      </c>
      <c r="C8" s="667" t="s">
        <v>43</v>
      </c>
      <c r="D8" s="694" t="s">
        <v>112</v>
      </c>
      <c r="E8" s="669" t="s">
        <v>109</v>
      </c>
      <c r="F8" s="670" t="s">
        <v>108</v>
      </c>
      <c r="G8" s="694" t="s">
        <v>39</v>
      </c>
      <c r="H8" s="668" t="s">
        <v>44</v>
      </c>
      <c r="I8" s="671" t="s">
        <v>44</v>
      </c>
      <c r="J8" s="694" t="s">
        <v>39</v>
      </c>
      <c r="K8" s="671" t="s">
        <v>44</v>
      </c>
      <c r="L8" s="674" t="s">
        <v>96</v>
      </c>
      <c r="M8" s="672" t="s">
        <v>108</v>
      </c>
      <c r="N8" s="668" t="s">
        <v>44</v>
      </c>
      <c r="O8" s="668" t="s">
        <v>51</v>
      </c>
      <c r="P8" s="668" t="s">
        <v>44</v>
      </c>
      <c r="Q8" s="668" t="s">
        <v>44</v>
      </c>
      <c r="R8" s="668" t="s">
        <v>44</v>
      </c>
      <c r="S8" s="669" t="s">
        <v>43</v>
      </c>
      <c r="T8" s="672" t="s">
        <v>108</v>
      </c>
      <c r="U8" s="668" t="s">
        <v>44</v>
      </c>
      <c r="V8" s="668" t="s">
        <v>44</v>
      </c>
      <c r="W8" s="668" t="s">
        <v>51</v>
      </c>
      <c r="X8" s="675" t="s">
        <v>96</v>
      </c>
      <c r="Y8" s="668"/>
      <c r="Z8" s="669" t="s">
        <v>108</v>
      </c>
      <c r="AA8" s="672" t="s">
        <v>43</v>
      </c>
      <c r="AB8" s="668" t="s">
        <v>44</v>
      </c>
      <c r="AC8" s="668" t="s">
        <v>44</v>
      </c>
      <c r="AD8" s="668" t="s">
        <v>44</v>
      </c>
      <c r="AE8" s="668" t="s">
        <v>51</v>
      </c>
      <c r="AF8" s="675" t="s">
        <v>96</v>
      </c>
      <c r="AG8" s="673" t="s">
        <v>108</v>
      </c>
      <c r="AH8" s="6">
        <f>COUNTIF(C8:AG8,"A")+COUNTIF(C8:AG8,"A1")+COUNTIF(C8:AG8,"A2")+COUNTIF(C8:AG8,"A3")+COUNTIF(C8:AG8,"A4")</f>
        <v>5</v>
      </c>
      <c r="AI8" s="7">
        <f t="shared" si="1"/>
        <v>3</v>
      </c>
      <c r="AJ8" s="47">
        <f t="shared" si="2"/>
        <v>13</v>
      </c>
      <c r="AK8" s="7">
        <f t="shared" si="3"/>
        <v>3</v>
      </c>
      <c r="AL8" s="47">
        <f t="shared" si="4"/>
        <v>1</v>
      </c>
      <c r="AM8" s="7">
        <f t="shared" si="5"/>
        <v>5</v>
      </c>
      <c r="AN8" s="7">
        <f t="shared" si="6"/>
        <v>1</v>
      </c>
      <c r="AO8" s="8">
        <f t="shared" si="7"/>
        <v>0</v>
      </c>
      <c r="AP8" s="9">
        <f>(AH8*8)+(AI8*8)+(AJ8*8)+(AK8*8)+(AO8*8)+7</f>
        <v>199</v>
      </c>
      <c r="AQ8" s="10">
        <f>SUM(AP8-$AP$4)</f>
        <v>31</v>
      </c>
      <c r="AR8" s="10">
        <f t="shared" si="8"/>
        <v>9</v>
      </c>
      <c r="AS8" s="10"/>
      <c r="AT8" s="11">
        <f t="shared" si="9"/>
        <v>40</v>
      </c>
      <c r="AU8" s="43"/>
    </row>
    <row r="9" spans="1:96" ht="26.25" customHeight="1">
      <c r="A9" s="733"/>
      <c r="B9" s="650" t="s">
        <v>99</v>
      </c>
      <c r="C9" s="652" t="s">
        <v>43</v>
      </c>
      <c r="D9" s="566" t="s">
        <v>51</v>
      </c>
      <c r="E9" s="654" t="s">
        <v>96</v>
      </c>
      <c r="F9" s="619" t="s">
        <v>108</v>
      </c>
      <c r="G9" s="566" t="s">
        <v>44</v>
      </c>
      <c r="H9" s="566" t="s">
        <v>44</v>
      </c>
      <c r="I9" s="695" t="s">
        <v>39</v>
      </c>
      <c r="J9" s="566" t="s">
        <v>44</v>
      </c>
      <c r="K9" s="566" t="s">
        <v>51</v>
      </c>
      <c r="L9" s="655" t="s">
        <v>96</v>
      </c>
      <c r="M9" s="619" t="s">
        <v>108</v>
      </c>
      <c r="N9" s="566" t="s">
        <v>44</v>
      </c>
      <c r="O9" s="566" t="s">
        <v>44</v>
      </c>
      <c r="P9" s="566" t="s">
        <v>44</v>
      </c>
      <c r="Q9" s="695" t="s">
        <v>39</v>
      </c>
      <c r="R9" s="655" t="s">
        <v>96</v>
      </c>
      <c r="S9" s="618" t="s">
        <v>109</v>
      </c>
      <c r="T9" s="619" t="s">
        <v>108</v>
      </c>
      <c r="U9" s="566" t="s">
        <v>44</v>
      </c>
      <c r="V9" s="566" t="s">
        <v>44</v>
      </c>
      <c r="W9" s="566" t="s">
        <v>43</v>
      </c>
      <c r="X9" s="566" t="s">
        <v>44</v>
      </c>
      <c r="Y9" s="566" t="s">
        <v>44</v>
      </c>
      <c r="Z9" s="618" t="s">
        <v>108</v>
      </c>
      <c r="AA9" s="701" t="s">
        <v>43</v>
      </c>
      <c r="AB9" s="566" t="s">
        <v>43</v>
      </c>
      <c r="AC9" s="566" t="s">
        <v>51</v>
      </c>
      <c r="AD9" s="656" t="s">
        <v>96</v>
      </c>
      <c r="AE9" s="566"/>
      <c r="AF9" s="566" t="s">
        <v>51</v>
      </c>
      <c r="AG9" s="620" t="s">
        <v>108</v>
      </c>
      <c r="AH9" s="16">
        <f t="shared" ref="AH9" si="10">COUNTIF(C9:AG9,"A")+COUNTIF(C9:AG9,"A1")+COUNTIF(C9:AG9,"A2")+COUNTIF(C9:AG9,"A3")+COUNTIF(C9:AG9,"A4")</f>
        <v>6</v>
      </c>
      <c r="AI9" s="17">
        <f t="shared" ref="AI9" si="11">COUNTIF(C9:AG9,"B")+COUNTIF(C9:AG9,"B1")+COUNTIF(C9:AG9,"B2")+COUNTIF(C9:AG9,"B3")+COUNTIF(C9:AG9,"B4")</f>
        <v>4</v>
      </c>
      <c r="AJ9" s="48">
        <f t="shared" ref="AJ9" si="12">COUNTIF(C9:AG9,"C")+COUNTIF(C9:AG9,"C1")+COUNTIF(C9:AG9,"C2")+COUNTIF(C9:AG9,"C3")+COUNTIF(C9:AG9,"C4")</f>
        <v>10</v>
      </c>
      <c r="AK9" s="17">
        <f t="shared" ref="AK9" si="13">COUNTIF(C9:AG9,"N")+COUNTIF(C9:AG9,"N1")</f>
        <v>4</v>
      </c>
      <c r="AL9" s="48">
        <f t="shared" ref="AL9" si="14">COUNTIF(C9:AG9,"대휴")</f>
        <v>1</v>
      </c>
      <c r="AM9" s="17">
        <f t="shared" ref="AM9" si="15">COUNTIF(C9:AG9,"주휴")</f>
        <v>5</v>
      </c>
      <c r="AN9" s="17">
        <f t="shared" ref="AN9" si="16">COUNTIF(C9:AG9,"")</f>
        <v>1</v>
      </c>
      <c r="AO9" s="18">
        <f t="shared" ref="AO9" si="17">COUNTIF(C9:AG9,"휴가")</f>
        <v>0</v>
      </c>
      <c r="AP9" s="299">
        <f>(AH9*8)+(AI9*8)+(AJ9*8)+(AK9*8)+(AO9*8)+4</f>
        <v>196</v>
      </c>
      <c r="AQ9" s="38">
        <f t="shared" ref="AQ9" si="18">SUM(AP9-$AP$4)</f>
        <v>28</v>
      </c>
      <c r="AR9" s="38">
        <f t="shared" si="8"/>
        <v>12</v>
      </c>
      <c r="AS9" s="38"/>
      <c r="AT9" s="80">
        <f t="shared" ref="AT9" si="19">SUM(AQ9:AS9)</f>
        <v>40</v>
      </c>
      <c r="AU9" s="87"/>
    </row>
    <row r="10" spans="1:96" ht="26.25" customHeight="1">
      <c r="A10" s="733"/>
      <c r="B10" s="650" t="s">
        <v>38</v>
      </c>
      <c r="C10" s="617" t="s">
        <v>108</v>
      </c>
      <c r="D10" s="676" t="s">
        <v>44</v>
      </c>
      <c r="E10" s="618" t="s">
        <v>43</v>
      </c>
      <c r="F10" s="699" t="s">
        <v>119</v>
      </c>
      <c r="G10" s="700" t="s">
        <v>44</v>
      </c>
      <c r="H10" s="695" t="s">
        <v>120</v>
      </c>
      <c r="I10" s="693" t="s">
        <v>44</v>
      </c>
      <c r="J10" s="656" t="s">
        <v>96</v>
      </c>
      <c r="K10" s="566"/>
      <c r="L10" s="618" t="s">
        <v>108</v>
      </c>
      <c r="M10" s="651" t="s">
        <v>44</v>
      </c>
      <c r="N10" s="566" t="s">
        <v>43</v>
      </c>
      <c r="O10" s="566" t="s">
        <v>44</v>
      </c>
      <c r="P10" s="566" t="s">
        <v>51</v>
      </c>
      <c r="Q10" s="657" t="s">
        <v>96</v>
      </c>
      <c r="R10" s="567"/>
      <c r="S10" s="618" t="s">
        <v>108</v>
      </c>
      <c r="T10" s="619" t="s">
        <v>44</v>
      </c>
      <c r="U10" s="566" t="s">
        <v>43</v>
      </c>
      <c r="V10" s="566" t="s">
        <v>43</v>
      </c>
      <c r="W10" s="566" t="s">
        <v>44</v>
      </c>
      <c r="X10" s="566" t="s">
        <v>51</v>
      </c>
      <c r="Y10" s="566" t="s">
        <v>44</v>
      </c>
      <c r="Z10" s="656" t="s">
        <v>96</v>
      </c>
      <c r="AA10" s="684" t="s">
        <v>108</v>
      </c>
      <c r="AB10" s="566" t="s">
        <v>44</v>
      </c>
      <c r="AC10" s="566" t="s">
        <v>43</v>
      </c>
      <c r="AD10" s="566" t="s">
        <v>51</v>
      </c>
      <c r="AE10" s="654" t="s">
        <v>96</v>
      </c>
      <c r="AF10" s="685" t="s">
        <v>108</v>
      </c>
      <c r="AG10" s="620" t="s">
        <v>44</v>
      </c>
      <c r="AH10" s="16">
        <f t="shared" si="0"/>
        <v>6</v>
      </c>
      <c r="AI10" s="17">
        <f t="shared" si="1"/>
        <v>4</v>
      </c>
      <c r="AJ10" s="48">
        <f t="shared" si="2"/>
        <v>10</v>
      </c>
      <c r="AK10" s="17">
        <f t="shared" si="3"/>
        <v>4</v>
      </c>
      <c r="AL10" s="48">
        <f t="shared" si="4"/>
        <v>0</v>
      </c>
      <c r="AM10" s="17">
        <f t="shared" si="5"/>
        <v>5</v>
      </c>
      <c r="AN10" s="17">
        <f t="shared" si="6"/>
        <v>2</v>
      </c>
      <c r="AO10" s="18">
        <f t="shared" si="7"/>
        <v>0</v>
      </c>
      <c r="AP10" s="299">
        <f>(AH10*8)+(AI10*8)+(AJ10*8)+(AK10*8)+(AO10*8)+4</f>
        <v>196</v>
      </c>
      <c r="AQ10" s="38">
        <f t="shared" ref="AQ10:AQ18" si="20">SUM(AP10-$AP$4)</f>
        <v>28</v>
      </c>
      <c r="AR10" s="38">
        <f t="shared" si="8"/>
        <v>12</v>
      </c>
      <c r="AS10" s="38"/>
      <c r="AT10" s="80">
        <f t="shared" si="9"/>
        <v>40</v>
      </c>
      <c r="AU10" s="87"/>
    </row>
    <row r="11" spans="1:96" ht="26.25" customHeight="1">
      <c r="A11" s="733"/>
      <c r="B11" s="89" t="s">
        <v>104</v>
      </c>
      <c r="C11" s="577"/>
      <c r="D11" s="428" t="s">
        <v>44</v>
      </c>
      <c r="E11" s="63" t="s">
        <v>51</v>
      </c>
      <c r="F11" s="62" t="s">
        <v>108</v>
      </c>
      <c r="G11" s="428"/>
      <c r="H11" s="680" t="s">
        <v>39</v>
      </c>
      <c r="I11" s="428" t="s">
        <v>43</v>
      </c>
      <c r="J11" s="428" t="s">
        <v>51</v>
      </c>
      <c r="K11" s="64" t="s">
        <v>96</v>
      </c>
      <c r="L11" s="63" t="s">
        <v>108</v>
      </c>
      <c r="M11" s="677" t="s">
        <v>39</v>
      </c>
      <c r="N11" s="428" t="s">
        <v>43</v>
      </c>
      <c r="O11" s="428" t="s">
        <v>51</v>
      </c>
      <c r="P11" s="64" t="s">
        <v>96</v>
      </c>
      <c r="Q11" s="428" t="s">
        <v>108</v>
      </c>
      <c r="R11" s="428" t="s">
        <v>43</v>
      </c>
      <c r="S11" s="679" t="s">
        <v>39</v>
      </c>
      <c r="T11" s="62" t="s">
        <v>51</v>
      </c>
      <c r="U11" s="64" t="s">
        <v>96</v>
      </c>
      <c r="V11" s="428"/>
      <c r="W11" s="680" t="s">
        <v>39</v>
      </c>
      <c r="X11" s="428" t="s">
        <v>43</v>
      </c>
      <c r="Y11" s="428" t="s">
        <v>51</v>
      </c>
      <c r="Z11" s="64" t="s">
        <v>96</v>
      </c>
      <c r="AA11" s="62" t="s">
        <v>108</v>
      </c>
      <c r="AB11" s="96" t="s">
        <v>37</v>
      </c>
      <c r="AC11" s="428" t="s">
        <v>43</v>
      </c>
      <c r="AD11" s="428" t="s">
        <v>43</v>
      </c>
      <c r="AE11" s="428" t="s">
        <v>51</v>
      </c>
      <c r="AF11" s="64" t="s">
        <v>96</v>
      </c>
      <c r="AG11" s="610" t="s">
        <v>108</v>
      </c>
      <c r="AH11" s="12">
        <f t="shared" si="0"/>
        <v>10</v>
      </c>
      <c r="AI11" s="13">
        <f t="shared" si="1"/>
        <v>6</v>
      </c>
      <c r="AJ11" s="49">
        <f t="shared" si="2"/>
        <v>1</v>
      </c>
      <c r="AK11" s="13">
        <f t="shared" si="3"/>
        <v>5</v>
      </c>
      <c r="AL11" s="49">
        <f t="shared" si="4"/>
        <v>0</v>
      </c>
      <c r="AM11" s="13">
        <f t="shared" si="5"/>
        <v>5</v>
      </c>
      <c r="AN11" s="13">
        <f t="shared" si="6"/>
        <v>3</v>
      </c>
      <c r="AO11" s="14">
        <f t="shared" si="7"/>
        <v>1</v>
      </c>
      <c r="AP11" s="298">
        <f>(AH11*8)+(AI11*8)+(AJ11*8)+(AK11*8)+(AO11*8)+8</f>
        <v>192</v>
      </c>
      <c r="AQ11" s="15">
        <f>SUM(AP11-$AP$4)</f>
        <v>24</v>
      </c>
      <c r="AR11" s="15">
        <f>(AK11*3)</f>
        <v>15</v>
      </c>
      <c r="AS11" s="15"/>
      <c r="AT11" s="79">
        <f>SUM(AQ11:AS11)</f>
        <v>39</v>
      </c>
      <c r="AU11" s="87"/>
    </row>
    <row r="12" spans="1:96" ht="26.25" customHeight="1">
      <c r="A12" s="733"/>
      <c r="B12" s="90" t="s">
        <v>98</v>
      </c>
      <c r="C12" s="578" t="s">
        <v>108</v>
      </c>
      <c r="D12" s="549" t="s">
        <v>43</v>
      </c>
      <c r="E12" s="603" t="s">
        <v>51</v>
      </c>
      <c r="F12" s="64" t="s">
        <v>96</v>
      </c>
      <c r="G12" s="428"/>
      <c r="H12" s="690" t="s">
        <v>43</v>
      </c>
      <c r="I12" s="428" t="s">
        <v>43</v>
      </c>
      <c r="J12" s="428" t="s">
        <v>51</v>
      </c>
      <c r="K12" s="64" t="s">
        <v>96</v>
      </c>
      <c r="L12" s="63" t="s">
        <v>108</v>
      </c>
      <c r="M12" s="62" t="s">
        <v>43</v>
      </c>
      <c r="N12" s="488" t="s">
        <v>43</v>
      </c>
      <c r="O12" s="428" t="s">
        <v>51</v>
      </c>
      <c r="P12" s="64" t="s">
        <v>20</v>
      </c>
      <c r="Q12" s="550" t="s">
        <v>108</v>
      </c>
      <c r="R12" s="686" t="s">
        <v>44</v>
      </c>
      <c r="S12" s="63" t="s">
        <v>43</v>
      </c>
      <c r="T12" s="62" t="s">
        <v>51</v>
      </c>
      <c r="U12" s="64" t="s">
        <v>96</v>
      </c>
      <c r="V12" s="428"/>
      <c r="W12" s="428" t="s">
        <v>43</v>
      </c>
      <c r="X12" s="428" t="s">
        <v>43</v>
      </c>
      <c r="Y12" s="428" t="s">
        <v>51</v>
      </c>
      <c r="Z12" s="691" t="s">
        <v>37</v>
      </c>
      <c r="AA12" s="62" t="s">
        <v>108</v>
      </c>
      <c r="AB12" s="428" t="s">
        <v>44</v>
      </c>
      <c r="AC12" s="428" t="s">
        <v>43</v>
      </c>
      <c r="AD12" s="550" t="s">
        <v>43</v>
      </c>
      <c r="AE12" s="428" t="s">
        <v>51</v>
      </c>
      <c r="AF12" s="64" t="s">
        <v>96</v>
      </c>
      <c r="AG12" s="611" t="s">
        <v>108</v>
      </c>
      <c r="AH12" s="12">
        <f t="shared" si="0"/>
        <v>10</v>
      </c>
      <c r="AI12" s="13">
        <f t="shared" si="1"/>
        <v>6</v>
      </c>
      <c r="AJ12" s="49">
        <f t="shared" si="2"/>
        <v>2</v>
      </c>
      <c r="AK12" s="13">
        <f t="shared" si="3"/>
        <v>5</v>
      </c>
      <c r="AL12" s="49">
        <f t="shared" si="4"/>
        <v>0</v>
      </c>
      <c r="AM12" s="13">
        <f t="shared" si="5"/>
        <v>5</v>
      </c>
      <c r="AN12" s="13">
        <f t="shared" si="6"/>
        <v>2</v>
      </c>
      <c r="AO12" s="14">
        <f t="shared" si="7"/>
        <v>1</v>
      </c>
      <c r="AP12" s="298">
        <f t="shared" ref="AP12:AP17" si="21">(AH12*8)+(AI12*8)+(AJ12*8)+(AK12*8)+(AO12*8)</f>
        <v>192</v>
      </c>
      <c r="AQ12" s="15">
        <f t="shared" si="20"/>
        <v>24</v>
      </c>
      <c r="AR12" s="15">
        <f>(AK12*3)</f>
        <v>15</v>
      </c>
      <c r="AS12" s="15"/>
      <c r="AT12" s="79">
        <f>SUM(AQ12:AS12)</f>
        <v>39</v>
      </c>
      <c r="AU12" s="87"/>
    </row>
    <row r="13" spans="1:96" ht="26.25" customHeight="1">
      <c r="A13" s="733"/>
      <c r="B13" s="90" t="s">
        <v>45</v>
      </c>
      <c r="C13" s="578" t="s">
        <v>44</v>
      </c>
      <c r="D13" s="549" t="s">
        <v>43</v>
      </c>
      <c r="E13" s="63" t="s">
        <v>43</v>
      </c>
      <c r="F13" s="62" t="s">
        <v>51</v>
      </c>
      <c r="G13" s="64" t="s">
        <v>96</v>
      </c>
      <c r="H13" s="428" t="s">
        <v>108</v>
      </c>
      <c r="I13" s="428" t="s">
        <v>44</v>
      </c>
      <c r="J13" s="428" t="s">
        <v>43</v>
      </c>
      <c r="K13" s="96" t="s">
        <v>37</v>
      </c>
      <c r="L13" s="64" t="s">
        <v>96</v>
      </c>
      <c r="M13" s="62" t="s">
        <v>108</v>
      </c>
      <c r="N13" s="428" t="s">
        <v>44</v>
      </c>
      <c r="O13" s="428" t="s">
        <v>43</v>
      </c>
      <c r="P13" s="428" t="s">
        <v>51</v>
      </c>
      <c r="Q13" s="661" t="s">
        <v>96</v>
      </c>
      <c r="R13" s="428" t="s">
        <v>109</v>
      </c>
      <c r="S13" s="63" t="s">
        <v>108</v>
      </c>
      <c r="T13" s="62" t="s">
        <v>43</v>
      </c>
      <c r="U13" s="428" t="s">
        <v>51</v>
      </c>
      <c r="V13" s="64" t="s">
        <v>96</v>
      </c>
      <c r="W13" s="428" t="s">
        <v>108</v>
      </c>
      <c r="X13" s="428" t="s">
        <v>43</v>
      </c>
      <c r="Y13" s="428" t="s">
        <v>43</v>
      </c>
      <c r="Z13" s="63" t="s">
        <v>51</v>
      </c>
      <c r="AA13" s="64" t="s">
        <v>96</v>
      </c>
      <c r="AB13" s="428"/>
      <c r="AC13" s="428" t="s">
        <v>44</v>
      </c>
      <c r="AD13" s="428" t="s">
        <v>44</v>
      </c>
      <c r="AE13" s="428" t="s">
        <v>44</v>
      </c>
      <c r="AF13" s="428" t="s">
        <v>43</v>
      </c>
      <c r="AG13" s="610" t="s">
        <v>108</v>
      </c>
      <c r="AH13" s="16">
        <f t="shared" ref="AH13:AH15" si="22">COUNTIF(C13:AG13,"A")+COUNTIF(C13:AG13,"A1")+COUNTIF(C13:AG13,"A2")+COUNTIF(C13:AG13,"A3")+COUNTIF(C13:AG13,"A4")</f>
        <v>8</v>
      </c>
      <c r="AI13" s="17">
        <f t="shared" ref="AI13:AI15" si="23">COUNTIF(C13:AG13,"B")+COUNTIF(C13:AG13,"B1")+COUNTIF(C13:AG13,"B2")+COUNTIF(C13:AG13,"B3")+COUNTIF(C13:AG13,"B4")</f>
        <v>4</v>
      </c>
      <c r="AJ13" s="48">
        <f t="shared" ref="AJ13:AJ15" si="24">COUNTIF(C13:AG13,"C")+COUNTIF(C13:AG13,"C1")+COUNTIF(C13:AG13,"C2")+COUNTIF(C13:AG13,"C3")+COUNTIF(C13:AG13,"C4")</f>
        <v>6</v>
      </c>
      <c r="AK13" s="17">
        <f t="shared" ref="AK13:AK15" si="25">COUNTIF(C13:AG13,"N")+COUNTIF(C13:AG13,"N1")</f>
        <v>5</v>
      </c>
      <c r="AL13" s="48">
        <f t="shared" ref="AL13:AL15" si="26">COUNTIF(C13:AG13,"대휴")</f>
        <v>1</v>
      </c>
      <c r="AM13" s="17">
        <f t="shared" ref="AM13:AM15" si="27">COUNTIF(C13:AG13,"주휴")</f>
        <v>5</v>
      </c>
      <c r="AN13" s="17">
        <f t="shared" ref="AN13:AN15" si="28">COUNTIF(C13:AG13,"")</f>
        <v>1</v>
      </c>
      <c r="AO13" s="18">
        <f t="shared" ref="AO13:AO15" si="29">COUNTIF(C13:AG13,"휴가")</f>
        <v>1</v>
      </c>
      <c r="AP13" s="299">
        <f t="shared" si="21"/>
        <v>192</v>
      </c>
      <c r="AQ13" s="38">
        <f t="shared" ref="AQ13:AQ15" si="30">SUM(AP13-$AP$4)</f>
        <v>24</v>
      </c>
      <c r="AR13" s="38">
        <f>(AK13*3)</f>
        <v>15</v>
      </c>
      <c r="AS13" s="38"/>
      <c r="AT13" s="80">
        <f>SUM(AQ13:AS13)</f>
        <v>39</v>
      </c>
      <c r="AU13" s="87"/>
    </row>
    <row r="14" spans="1:96" ht="26.25" customHeight="1">
      <c r="A14" s="733"/>
      <c r="B14" s="294" t="s">
        <v>105</v>
      </c>
      <c r="C14" s="577"/>
      <c r="D14" s="680" t="s">
        <v>39</v>
      </c>
      <c r="E14" s="63" t="s">
        <v>43</v>
      </c>
      <c r="F14" s="62" t="s">
        <v>108</v>
      </c>
      <c r="G14" s="428" t="s">
        <v>51</v>
      </c>
      <c r="H14" s="428" t="s">
        <v>44</v>
      </c>
      <c r="I14" s="96" t="s">
        <v>37</v>
      </c>
      <c r="J14" s="428" t="s">
        <v>43</v>
      </c>
      <c r="K14" s="680" t="s">
        <v>39</v>
      </c>
      <c r="L14" s="63" t="s">
        <v>51</v>
      </c>
      <c r="M14" s="64" t="s">
        <v>96</v>
      </c>
      <c r="N14" s="428" t="s">
        <v>108</v>
      </c>
      <c r="O14" s="428"/>
      <c r="P14" s="428" t="s">
        <v>43</v>
      </c>
      <c r="Q14" s="428" t="s">
        <v>51</v>
      </c>
      <c r="R14" s="64" t="s">
        <v>96</v>
      </c>
      <c r="S14" s="63"/>
      <c r="T14" s="62" t="s">
        <v>108</v>
      </c>
      <c r="U14" s="680" t="s">
        <v>39</v>
      </c>
      <c r="V14" s="428" t="s">
        <v>51</v>
      </c>
      <c r="W14" s="64" t="s">
        <v>96</v>
      </c>
      <c r="X14" s="428" t="s">
        <v>108</v>
      </c>
      <c r="Y14" s="428" t="s">
        <v>43</v>
      </c>
      <c r="Z14" s="518" t="s">
        <v>39</v>
      </c>
      <c r="AA14" s="62" t="s">
        <v>51</v>
      </c>
      <c r="AB14" s="64" t="s">
        <v>96</v>
      </c>
      <c r="AC14" s="428" t="s">
        <v>108</v>
      </c>
      <c r="AD14" s="428" t="s">
        <v>43</v>
      </c>
      <c r="AE14" s="428" t="s">
        <v>43</v>
      </c>
      <c r="AF14" s="428" t="s">
        <v>51</v>
      </c>
      <c r="AG14" s="663" t="s">
        <v>96</v>
      </c>
      <c r="AH14" s="202">
        <f t="shared" si="22"/>
        <v>10</v>
      </c>
      <c r="AI14" s="13">
        <f t="shared" si="23"/>
        <v>6</v>
      </c>
      <c r="AJ14" s="13">
        <f t="shared" si="24"/>
        <v>1</v>
      </c>
      <c r="AK14" s="13">
        <f t="shared" si="25"/>
        <v>5</v>
      </c>
      <c r="AL14" s="49">
        <f t="shared" si="26"/>
        <v>0</v>
      </c>
      <c r="AM14" s="49">
        <f t="shared" si="27"/>
        <v>5</v>
      </c>
      <c r="AN14" s="13">
        <f t="shared" si="28"/>
        <v>3</v>
      </c>
      <c r="AO14" s="14">
        <f t="shared" si="29"/>
        <v>1</v>
      </c>
      <c r="AP14" s="298">
        <f>(AH14*8)+(AI14*8)+(AJ14*8)+(AK14*8)+(AO14*8)+8</f>
        <v>192</v>
      </c>
      <c r="AQ14" s="15">
        <f t="shared" si="30"/>
        <v>24</v>
      </c>
      <c r="AR14" s="15">
        <f t="shared" ref="AR14:AR15" si="31">(AK14*3)</f>
        <v>15</v>
      </c>
      <c r="AS14" s="15"/>
      <c r="AT14" s="79">
        <f t="shared" ref="AT14:AT15" si="32">SUM(AQ14:AS14)</f>
        <v>39</v>
      </c>
      <c r="AU14" s="87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</row>
    <row r="15" spans="1:96" ht="26.25" customHeight="1">
      <c r="A15" s="733"/>
      <c r="B15" s="91" t="s">
        <v>47</v>
      </c>
      <c r="C15" s="660" t="s">
        <v>96</v>
      </c>
      <c r="D15" s="428"/>
      <c r="E15" s="604" t="s">
        <v>108</v>
      </c>
      <c r="F15" s="677" t="s">
        <v>39</v>
      </c>
      <c r="G15" s="428" t="s">
        <v>51</v>
      </c>
      <c r="H15" s="64" t="s">
        <v>96</v>
      </c>
      <c r="I15" s="428" t="s">
        <v>108</v>
      </c>
      <c r="J15" s="428" t="s">
        <v>44</v>
      </c>
      <c r="K15" s="428" t="s">
        <v>43</v>
      </c>
      <c r="L15" s="63" t="s">
        <v>51</v>
      </c>
      <c r="M15" s="64" t="s">
        <v>96</v>
      </c>
      <c r="N15" s="428"/>
      <c r="O15" s="428" t="s">
        <v>43</v>
      </c>
      <c r="P15" s="428" t="s">
        <v>43</v>
      </c>
      <c r="Q15" s="428" t="s">
        <v>51</v>
      </c>
      <c r="R15" s="64" t="s">
        <v>96</v>
      </c>
      <c r="S15" s="63" t="s">
        <v>108</v>
      </c>
      <c r="T15" s="677" t="s">
        <v>39</v>
      </c>
      <c r="U15" s="428" t="s">
        <v>43</v>
      </c>
      <c r="V15" s="428" t="s">
        <v>51</v>
      </c>
      <c r="W15" s="64" t="s">
        <v>96</v>
      </c>
      <c r="X15" s="428" t="s">
        <v>108</v>
      </c>
      <c r="Y15" s="428" t="s">
        <v>43</v>
      </c>
      <c r="Z15" s="679" t="s">
        <v>39</v>
      </c>
      <c r="AA15" s="62" t="s">
        <v>51</v>
      </c>
      <c r="AB15" s="64" t="s">
        <v>96</v>
      </c>
      <c r="AC15" s="428"/>
      <c r="AD15" s="428" t="s">
        <v>108</v>
      </c>
      <c r="AE15" s="428" t="s">
        <v>43</v>
      </c>
      <c r="AF15" s="428" t="s">
        <v>43</v>
      </c>
      <c r="AG15" s="610" t="s">
        <v>51</v>
      </c>
      <c r="AH15" s="244">
        <f t="shared" si="22"/>
        <v>10</v>
      </c>
      <c r="AI15" s="245">
        <f t="shared" si="23"/>
        <v>6</v>
      </c>
      <c r="AJ15" s="245">
        <f t="shared" si="24"/>
        <v>1</v>
      </c>
      <c r="AK15" s="245">
        <f t="shared" si="25"/>
        <v>6</v>
      </c>
      <c r="AL15" s="246">
        <f t="shared" si="26"/>
        <v>0</v>
      </c>
      <c r="AM15" s="245">
        <f t="shared" si="27"/>
        <v>5</v>
      </c>
      <c r="AN15" s="245">
        <f t="shared" si="28"/>
        <v>3</v>
      </c>
      <c r="AO15" s="247">
        <f t="shared" si="29"/>
        <v>0</v>
      </c>
      <c r="AP15" s="300">
        <f>(AH15*8)+(AI15*8)+(AJ15*8)+(AK15*8)+(AO15*8)+6</f>
        <v>190</v>
      </c>
      <c r="AQ15" s="248">
        <f t="shared" si="30"/>
        <v>22</v>
      </c>
      <c r="AR15" s="248">
        <f t="shared" si="31"/>
        <v>18</v>
      </c>
      <c r="AS15" s="248"/>
      <c r="AT15" s="301">
        <f t="shared" si="32"/>
        <v>40</v>
      </c>
      <c r="AU15" s="87"/>
    </row>
    <row r="16" spans="1:96" ht="26.25" customHeight="1">
      <c r="A16" s="733"/>
      <c r="B16" s="89" t="s">
        <v>42</v>
      </c>
      <c r="C16" s="579" t="s">
        <v>51</v>
      </c>
      <c r="D16" s="659" t="s">
        <v>96</v>
      </c>
      <c r="E16" s="603" t="s">
        <v>108</v>
      </c>
      <c r="F16" s="62" t="s">
        <v>43</v>
      </c>
      <c r="G16" s="428" t="s">
        <v>43</v>
      </c>
      <c r="H16" s="428" t="s">
        <v>51</v>
      </c>
      <c r="I16" s="64" t="s">
        <v>96</v>
      </c>
      <c r="J16" s="428" t="s">
        <v>108</v>
      </c>
      <c r="K16" s="550" t="s">
        <v>43</v>
      </c>
      <c r="L16" s="679" t="s">
        <v>39</v>
      </c>
      <c r="M16" s="62" t="s">
        <v>51</v>
      </c>
      <c r="N16" s="64" t="s">
        <v>96</v>
      </c>
      <c r="O16" s="428" t="s">
        <v>109</v>
      </c>
      <c r="P16" s="690" t="s">
        <v>37</v>
      </c>
      <c r="Q16" s="550" t="s">
        <v>43</v>
      </c>
      <c r="R16" s="550" t="s">
        <v>51</v>
      </c>
      <c r="S16" s="64" t="s">
        <v>96</v>
      </c>
      <c r="T16" s="594" t="s">
        <v>108</v>
      </c>
      <c r="U16" s="551"/>
      <c r="V16" s="551" t="s">
        <v>43</v>
      </c>
      <c r="W16" s="551" t="s">
        <v>51</v>
      </c>
      <c r="X16" s="662" t="s">
        <v>96</v>
      </c>
      <c r="Y16" s="428" t="s">
        <v>108</v>
      </c>
      <c r="Z16" s="63" t="s">
        <v>43</v>
      </c>
      <c r="AA16" s="677" t="s">
        <v>39</v>
      </c>
      <c r="AB16" s="428" t="s">
        <v>51</v>
      </c>
      <c r="AC16" s="64" t="s">
        <v>96</v>
      </c>
      <c r="AD16" s="428"/>
      <c r="AE16" s="428" t="s">
        <v>108</v>
      </c>
      <c r="AF16" s="687" t="s">
        <v>43</v>
      </c>
      <c r="AG16" s="683" t="s">
        <v>39</v>
      </c>
      <c r="AH16" s="12">
        <f t="shared" si="0"/>
        <v>10</v>
      </c>
      <c r="AI16" s="13">
        <f t="shared" si="1"/>
        <v>6</v>
      </c>
      <c r="AJ16" s="49">
        <f t="shared" si="2"/>
        <v>0</v>
      </c>
      <c r="AK16" s="13">
        <f t="shared" si="3"/>
        <v>6</v>
      </c>
      <c r="AL16" s="49">
        <f t="shared" si="4"/>
        <v>1</v>
      </c>
      <c r="AM16" s="13">
        <f t="shared" si="5"/>
        <v>5</v>
      </c>
      <c r="AN16" s="13">
        <f t="shared" si="6"/>
        <v>2</v>
      </c>
      <c r="AO16" s="14">
        <f t="shared" si="7"/>
        <v>1</v>
      </c>
      <c r="AP16" s="298">
        <f>(AH16*8)+(AI16*8)+(AJ16*8)+(AK16*8)+(AO16*8)+6</f>
        <v>190</v>
      </c>
      <c r="AQ16" s="15">
        <f t="shared" si="20"/>
        <v>22</v>
      </c>
      <c r="AR16" s="15">
        <f>(AK16*3)</f>
        <v>18</v>
      </c>
      <c r="AS16" s="15"/>
      <c r="AT16" s="79">
        <f>SUM(AQ16:AS16)</f>
        <v>40</v>
      </c>
      <c r="AU16" s="87"/>
    </row>
    <row r="17" spans="1:47" ht="26.25" customHeight="1">
      <c r="A17" s="733"/>
      <c r="B17" s="295" t="s">
        <v>50</v>
      </c>
      <c r="C17" s="577" t="s">
        <v>44</v>
      </c>
      <c r="D17" s="658" t="s">
        <v>44</v>
      </c>
      <c r="E17" s="63" t="s">
        <v>108</v>
      </c>
      <c r="F17" s="62" t="s">
        <v>44</v>
      </c>
      <c r="G17" s="428" t="s">
        <v>43</v>
      </c>
      <c r="H17" s="488" t="s">
        <v>43</v>
      </c>
      <c r="I17" s="428" t="s">
        <v>51</v>
      </c>
      <c r="J17" s="64" t="s">
        <v>96</v>
      </c>
      <c r="K17" s="428" t="s">
        <v>108</v>
      </c>
      <c r="L17" s="63" t="s">
        <v>43</v>
      </c>
      <c r="M17" s="62" t="s">
        <v>43</v>
      </c>
      <c r="N17" s="428" t="s">
        <v>51</v>
      </c>
      <c r="O17" s="64" t="s">
        <v>96</v>
      </c>
      <c r="P17" s="428" t="s">
        <v>108</v>
      </c>
      <c r="Q17" s="428" t="s">
        <v>44</v>
      </c>
      <c r="R17" s="550" t="s">
        <v>43</v>
      </c>
      <c r="S17" s="63" t="s">
        <v>51</v>
      </c>
      <c r="T17" s="64" t="s">
        <v>96</v>
      </c>
      <c r="U17" s="428" t="s">
        <v>108</v>
      </c>
      <c r="V17" s="428" t="s">
        <v>44</v>
      </c>
      <c r="W17" s="428" t="s">
        <v>43</v>
      </c>
      <c r="X17" s="548" t="s">
        <v>44</v>
      </c>
      <c r="Y17" s="64" t="s">
        <v>96</v>
      </c>
      <c r="Z17" s="63" t="s">
        <v>109</v>
      </c>
      <c r="AA17" s="62" t="s">
        <v>108</v>
      </c>
      <c r="AB17" s="428" t="s">
        <v>43</v>
      </c>
      <c r="AC17" s="428" t="s">
        <v>51</v>
      </c>
      <c r="AD17" s="661" t="s">
        <v>96</v>
      </c>
      <c r="AE17" s="428" t="s">
        <v>108</v>
      </c>
      <c r="AF17" s="428" t="s">
        <v>44</v>
      </c>
      <c r="AG17" s="610" t="s">
        <v>43</v>
      </c>
      <c r="AH17" s="201">
        <f t="shared" si="0"/>
        <v>8</v>
      </c>
      <c r="AI17" s="17">
        <f t="shared" si="1"/>
        <v>4</v>
      </c>
      <c r="AJ17" s="17">
        <f t="shared" si="2"/>
        <v>7</v>
      </c>
      <c r="AK17" s="17">
        <f t="shared" si="3"/>
        <v>5</v>
      </c>
      <c r="AL17" s="48">
        <f t="shared" si="4"/>
        <v>1</v>
      </c>
      <c r="AM17" s="17">
        <f t="shared" si="5"/>
        <v>6</v>
      </c>
      <c r="AN17" s="17">
        <v>0</v>
      </c>
      <c r="AO17" s="18">
        <f t="shared" si="7"/>
        <v>0</v>
      </c>
      <c r="AP17" s="302">
        <f t="shared" si="21"/>
        <v>192</v>
      </c>
      <c r="AQ17" s="15">
        <f t="shared" si="20"/>
        <v>24</v>
      </c>
      <c r="AR17" s="192">
        <f t="shared" ref="AR17:AR26" si="33">(AK17*3)</f>
        <v>15</v>
      </c>
      <c r="AS17" s="192"/>
      <c r="AT17" s="303">
        <f t="shared" ref="AT17:AT26" si="34">SUM(AQ17:AS17)</f>
        <v>39</v>
      </c>
      <c r="AU17" s="87"/>
    </row>
    <row r="18" spans="1:47" ht="26.25" customHeight="1" thickBot="1">
      <c r="A18" s="733"/>
      <c r="B18" s="697" t="s">
        <v>118</v>
      </c>
      <c r="C18" s="626"/>
      <c r="D18" s="627" t="s">
        <v>113</v>
      </c>
      <c r="E18" s="628" t="s">
        <v>116</v>
      </c>
      <c r="F18" s="629"/>
      <c r="G18" s="627" t="s">
        <v>113</v>
      </c>
      <c r="H18" s="627" t="s">
        <v>113</v>
      </c>
      <c r="I18" s="627" t="s">
        <v>113</v>
      </c>
      <c r="J18" s="627" t="s">
        <v>113</v>
      </c>
      <c r="K18" s="627" t="s">
        <v>113</v>
      </c>
      <c r="L18" s="628" t="s">
        <v>116</v>
      </c>
      <c r="M18" s="629" t="s">
        <v>113</v>
      </c>
      <c r="N18" s="627" t="s">
        <v>114</v>
      </c>
      <c r="O18" s="627" t="s">
        <v>113</v>
      </c>
      <c r="P18" s="627" t="s">
        <v>115</v>
      </c>
      <c r="Q18" s="627"/>
      <c r="R18" s="627" t="s">
        <v>114</v>
      </c>
      <c r="S18" s="64" t="s">
        <v>96</v>
      </c>
      <c r="T18" s="631" t="s">
        <v>116</v>
      </c>
      <c r="U18" s="698" t="s">
        <v>117</v>
      </c>
      <c r="V18" s="551" t="s">
        <v>43</v>
      </c>
      <c r="W18" s="551" t="s">
        <v>51</v>
      </c>
      <c r="X18" s="662" t="s">
        <v>96</v>
      </c>
      <c r="Y18" s="630" t="s">
        <v>116</v>
      </c>
      <c r="Z18" s="679" t="s">
        <v>39</v>
      </c>
      <c r="AA18" s="619" t="s">
        <v>43</v>
      </c>
      <c r="AB18" s="428" t="s">
        <v>51</v>
      </c>
      <c r="AC18" s="64" t="s">
        <v>96</v>
      </c>
      <c r="AD18" s="630" t="s">
        <v>116</v>
      </c>
      <c r="AE18" s="680" t="s">
        <v>39</v>
      </c>
      <c r="AF18" s="428" t="s">
        <v>43</v>
      </c>
      <c r="AG18" s="610" t="s">
        <v>51</v>
      </c>
      <c r="AH18" s="621">
        <f t="shared" si="0"/>
        <v>8</v>
      </c>
      <c r="AI18" s="622">
        <f t="shared" si="1"/>
        <v>4</v>
      </c>
      <c r="AJ18" s="622">
        <f t="shared" si="2"/>
        <v>8</v>
      </c>
      <c r="AK18" s="622">
        <f t="shared" si="3"/>
        <v>3</v>
      </c>
      <c r="AL18" s="623">
        <f t="shared" si="4"/>
        <v>0</v>
      </c>
      <c r="AM18" s="622">
        <f t="shared" si="5"/>
        <v>5</v>
      </c>
      <c r="AN18" s="622">
        <v>0</v>
      </c>
      <c r="AO18" s="632">
        <f t="shared" si="7"/>
        <v>0</v>
      </c>
      <c r="AP18" s="300">
        <f>(AH18*8)+(AI18*8)+(AJ18*8)+(AK18*8)+(AO18*8)+6</f>
        <v>190</v>
      </c>
      <c r="AQ18" s="15">
        <f t="shared" si="20"/>
        <v>22</v>
      </c>
      <c r="AR18" s="248">
        <f t="shared" si="33"/>
        <v>9</v>
      </c>
      <c r="AS18" s="248"/>
      <c r="AT18" s="301">
        <f t="shared" si="34"/>
        <v>31</v>
      </c>
      <c r="AU18" s="87"/>
    </row>
    <row r="19" spans="1:47" ht="26.25" customHeight="1">
      <c r="A19" s="733"/>
      <c r="B19" s="624" t="s">
        <v>100</v>
      </c>
      <c r="C19" s="580"/>
      <c r="D19" s="692" t="s">
        <v>37</v>
      </c>
      <c r="E19" s="602"/>
      <c r="F19" s="589" t="s">
        <v>108</v>
      </c>
      <c r="G19" s="568" t="s">
        <v>44</v>
      </c>
      <c r="H19" s="692" t="s">
        <v>37</v>
      </c>
      <c r="I19" s="692" t="s">
        <v>37</v>
      </c>
      <c r="J19" s="568" t="s">
        <v>44</v>
      </c>
      <c r="K19" s="568" t="s">
        <v>44</v>
      </c>
      <c r="L19" s="602"/>
      <c r="M19" s="589" t="s">
        <v>108</v>
      </c>
      <c r="N19" s="568" t="s">
        <v>44</v>
      </c>
      <c r="O19" s="568" t="s">
        <v>44</v>
      </c>
      <c r="P19" s="568" t="s">
        <v>44</v>
      </c>
      <c r="Q19" s="568" t="s">
        <v>44</v>
      </c>
      <c r="R19" s="568" t="s">
        <v>44</v>
      </c>
      <c r="S19" s="602"/>
      <c r="T19" s="589" t="s">
        <v>108</v>
      </c>
      <c r="U19" s="568" t="s">
        <v>44</v>
      </c>
      <c r="V19" s="568" t="s">
        <v>44</v>
      </c>
      <c r="W19" s="568" t="s">
        <v>44</v>
      </c>
      <c r="X19" s="568" t="s">
        <v>44</v>
      </c>
      <c r="Y19" s="568" t="s">
        <v>44</v>
      </c>
      <c r="Z19" s="602"/>
      <c r="AA19" s="589" t="s">
        <v>108</v>
      </c>
      <c r="AB19" s="568" t="s">
        <v>44</v>
      </c>
      <c r="AC19" s="568" t="s">
        <v>44</v>
      </c>
      <c r="AD19" s="568" t="s">
        <v>44</v>
      </c>
      <c r="AE19" s="568" t="s">
        <v>44</v>
      </c>
      <c r="AF19" s="568" t="s">
        <v>44</v>
      </c>
      <c r="AG19" s="612"/>
      <c r="AH19" s="633">
        <f t="shared" si="0"/>
        <v>0</v>
      </c>
      <c r="AI19" s="634">
        <f t="shared" si="1"/>
        <v>0</v>
      </c>
      <c r="AJ19" s="634">
        <f t="shared" si="2"/>
        <v>18</v>
      </c>
      <c r="AK19" s="634">
        <f t="shared" si="3"/>
        <v>0</v>
      </c>
      <c r="AL19" s="635">
        <f t="shared" si="4"/>
        <v>0</v>
      </c>
      <c r="AM19" s="635">
        <f t="shared" si="5"/>
        <v>4</v>
      </c>
      <c r="AN19" s="634">
        <f t="shared" ref="AN19:AN26" si="35">COUNTIF(C19:AG19,"")</f>
        <v>6</v>
      </c>
      <c r="AO19" s="636">
        <f t="shared" si="7"/>
        <v>3</v>
      </c>
      <c r="AP19" s="637">
        <f t="shared" ref="AP19:AP25" si="36">(AH19*8)+(AI19*8)+(AJ19*8)+(AK19*8)+(AO19*8)</f>
        <v>168</v>
      </c>
      <c r="AQ19" s="192">
        <f t="shared" ref="AQ19:AQ26" si="37">SUM(AP19-$AP$4)</f>
        <v>0</v>
      </c>
      <c r="AR19" s="638">
        <f t="shared" si="33"/>
        <v>0</v>
      </c>
      <c r="AS19" s="638"/>
      <c r="AT19" s="639">
        <f t="shared" si="34"/>
        <v>0</v>
      </c>
      <c r="AU19" s="87"/>
    </row>
    <row r="20" spans="1:47" ht="26.25" customHeight="1">
      <c r="A20" s="733"/>
      <c r="B20" s="323" t="s">
        <v>57</v>
      </c>
      <c r="C20" s="578" t="s">
        <v>43</v>
      </c>
      <c r="D20" s="96" t="s">
        <v>51</v>
      </c>
      <c r="E20" s="64" t="s">
        <v>96</v>
      </c>
      <c r="F20" s="590" t="s">
        <v>108</v>
      </c>
      <c r="G20" s="428" t="s">
        <v>109</v>
      </c>
      <c r="H20" s="428" t="s">
        <v>43</v>
      </c>
      <c r="I20" s="428" t="s">
        <v>43</v>
      </c>
      <c r="J20" s="428" t="s">
        <v>51</v>
      </c>
      <c r="K20" s="64" t="s">
        <v>96</v>
      </c>
      <c r="L20" s="63" t="s">
        <v>108</v>
      </c>
      <c r="M20" s="590" t="s">
        <v>44</v>
      </c>
      <c r="N20" s="428" t="s">
        <v>44</v>
      </c>
      <c r="O20" s="428" t="s">
        <v>43</v>
      </c>
      <c r="P20" s="428" t="s">
        <v>43</v>
      </c>
      <c r="Q20" s="64" t="s">
        <v>96</v>
      </c>
      <c r="R20" s="428" t="s">
        <v>108</v>
      </c>
      <c r="S20" s="63" t="s">
        <v>44</v>
      </c>
      <c r="T20" s="677" t="s">
        <v>120</v>
      </c>
      <c r="U20" s="96" t="s">
        <v>37</v>
      </c>
      <c r="V20" s="428" t="s">
        <v>51</v>
      </c>
      <c r="W20" s="64" t="s">
        <v>96</v>
      </c>
      <c r="X20" s="428"/>
      <c r="Y20" s="428" t="s">
        <v>108</v>
      </c>
      <c r="Z20" s="63" t="s">
        <v>43</v>
      </c>
      <c r="AA20" s="62" t="s">
        <v>44</v>
      </c>
      <c r="AB20" s="428" t="s">
        <v>51</v>
      </c>
      <c r="AC20" s="64" t="s">
        <v>96</v>
      </c>
      <c r="AD20" s="428" t="s">
        <v>108</v>
      </c>
      <c r="AE20" s="96" t="s">
        <v>37</v>
      </c>
      <c r="AF20" s="428" t="s">
        <v>43</v>
      </c>
      <c r="AG20" s="613" t="s">
        <v>51</v>
      </c>
      <c r="AH20" s="12">
        <f t="shared" ref="AH20" si="38">COUNTIF(C20:AG20,"A")+COUNTIF(C20:AG20,"A1")+COUNTIF(C20:AG20,"A2")+COUNTIF(C20:AG20,"A3")+COUNTIF(C20:AG20,"A4")</f>
        <v>8</v>
      </c>
      <c r="AI20" s="13">
        <f t="shared" ref="AI20" si="39">COUNTIF(C20:AG20,"B")+COUNTIF(C20:AG20,"B1")+COUNTIF(C20:AG20,"B2")+COUNTIF(C20:AG20,"B3")+COUNTIF(C20:AG20,"B4")</f>
        <v>5</v>
      </c>
      <c r="AJ20" s="49">
        <f t="shared" ref="AJ20" si="40">COUNTIF(C20:AG20,"C")+COUNTIF(C20:AG20,"C1")+COUNTIF(C20:AG20,"C2")+COUNTIF(C20:AG20,"C3")+COUNTIF(C20:AG20,"C4")</f>
        <v>4</v>
      </c>
      <c r="AK20" s="13">
        <f t="shared" ref="AK20" si="41">COUNTIF(C20:AG20,"N")+COUNTIF(C20:AG20,"N1")</f>
        <v>5</v>
      </c>
      <c r="AL20" s="49">
        <f t="shared" ref="AL20" si="42">COUNTIF(C20:AG20,"대휴")</f>
        <v>1</v>
      </c>
      <c r="AM20" s="49">
        <f t="shared" ref="AM20" si="43">COUNTIF(C20:AG20,"주휴")</f>
        <v>5</v>
      </c>
      <c r="AN20" s="13">
        <f t="shared" ref="AN20" si="44">COUNTIF(C20:AG20,"")</f>
        <v>1</v>
      </c>
      <c r="AO20" s="54">
        <f t="shared" ref="AO20" si="45">COUNTIF(C20:AG20,"휴가")</f>
        <v>2</v>
      </c>
      <c r="AP20" s="52">
        <f>(AH20*8)+(AI20*8)+(AJ20*8)+(AK20*8)+(AO20*8)+1</f>
        <v>193</v>
      </c>
      <c r="AQ20" s="15">
        <f t="shared" ref="AQ20" si="46">SUM(AP20-$AP$4)</f>
        <v>25</v>
      </c>
      <c r="AR20" s="15">
        <f t="shared" ref="AR20" si="47">(AK20*3)</f>
        <v>15</v>
      </c>
      <c r="AS20" s="15"/>
      <c r="AT20" s="640">
        <f t="shared" ref="AT20" si="48">SUM(AQ20:AS20)</f>
        <v>40</v>
      </c>
      <c r="AU20" s="87"/>
    </row>
    <row r="21" spans="1:47" ht="26.25" customHeight="1">
      <c r="A21" s="733"/>
      <c r="B21" s="320" t="s">
        <v>54</v>
      </c>
      <c r="C21" s="682" t="s">
        <v>39</v>
      </c>
      <c r="D21" s="428" t="s">
        <v>43</v>
      </c>
      <c r="E21" s="63" t="s">
        <v>51</v>
      </c>
      <c r="F21" s="64" t="s">
        <v>96</v>
      </c>
      <c r="G21" s="428" t="s">
        <v>108</v>
      </c>
      <c r="H21" s="428" t="s">
        <v>109</v>
      </c>
      <c r="I21" s="428" t="s">
        <v>43</v>
      </c>
      <c r="J21" s="428" t="s">
        <v>43</v>
      </c>
      <c r="K21" s="428" t="s">
        <v>51</v>
      </c>
      <c r="L21" s="64" t="s">
        <v>96</v>
      </c>
      <c r="M21" s="590" t="s">
        <v>108</v>
      </c>
      <c r="N21" s="428" t="s">
        <v>44</v>
      </c>
      <c r="O21" s="428" t="s">
        <v>43</v>
      </c>
      <c r="P21" s="428"/>
      <c r="Q21" s="428" t="s">
        <v>51</v>
      </c>
      <c r="R21" s="64" t="s">
        <v>96</v>
      </c>
      <c r="S21" s="603" t="s">
        <v>108</v>
      </c>
      <c r="T21" s="242" t="s">
        <v>37</v>
      </c>
      <c r="U21" s="680" t="s">
        <v>39</v>
      </c>
      <c r="V21" s="428" t="s">
        <v>43</v>
      </c>
      <c r="W21" s="428" t="s">
        <v>51</v>
      </c>
      <c r="X21" s="64" t="s">
        <v>96</v>
      </c>
      <c r="Y21" s="428"/>
      <c r="Z21" s="63" t="s">
        <v>108</v>
      </c>
      <c r="AA21" s="677" t="s">
        <v>39</v>
      </c>
      <c r="AB21" s="680" t="s">
        <v>39</v>
      </c>
      <c r="AC21" s="428" t="s">
        <v>51</v>
      </c>
      <c r="AD21" s="64" t="s">
        <v>96</v>
      </c>
      <c r="AE21" s="428" t="s">
        <v>108</v>
      </c>
      <c r="AF21" s="428" t="s">
        <v>43</v>
      </c>
      <c r="AG21" s="610" t="s">
        <v>44</v>
      </c>
      <c r="AH21" s="201">
        <f t="shared" si="0"/>
        <v>10</v>
      </c>
      <c r="AI21" s="17">
        <f t="shared" si="1"/>
        <v>5</v>
      </c>
      <c r="AJ21" s="17">
        <f t="shared" si="2"/>
        <v>2</v>
      </c>
      <c r="AK21" s="17">
        <f t="shared" si="3"/>
        <v>5</v>
      </c>
      <c r="AL21" s="48">
        <f t="shared" si="4"/>
        <v>1</v>
      </c>
      <c r="AM21" s="48">
        <f t="shared" si="5"/>
        <v>5</v>
      </c>
      <c r="AN21" s="17">
        <f t="shared" si="35"/>
        <v>2</v>
      </c>
      <c r="AO21" s="53">
        <f t="shared" si="7"/>
        <v>1</v>
      </c>
      <c r="AP21" s="37">
        <f>(AH21*8)+(AI21*8)+(AJ21*8)+(AK21*8)+(AO21*8)+8</f>
        <v>192</v>
      </c>
      <c r="AQ21" s="38">
        <f t="shared" si="37"/>
        <v>24</v>
      </c>
      <c r="AR21" s="38">
        <f t="shared" si="33"/>
        <v>15</v>
      </c>
      <c r="AS21" s="38"/>
      <c r="AT21" s="641">
        <f t="shared" si="34"/>
        <v>39</v>
      </c>
      <c r="AU21" s="87"/>
    </row>
    <row r="22" spans="1:47" ht="26.25" customHeight="1">
      <c r="A22" s="733"/>
      <c r="B22" s="625" t="s">
        <v>46</v>
      </c>
      <c r="C22" s="578" t="s">
        <v>108</v>
      </c>
      <c r="D22" s="428" t="s">
        <v>43</v>
      </c>
      <c r="E22" s="63" t="s">
        <v>43</v>
      </c>
      <c r="F22" s="690" t="s">
        <v>37</v>
      </c>
      <c r="G22" s="64" t="s">
        <v>96</v>
      </c>
      <c r="H22" s="428" t="s">
        <v>108</v>
      </c>
      <c r="I22" s="687" t="s">
        <v>51</v>
      </c>
      <c r="J22" s="428" t="s">
        <v>43</v>
      </c>
      <c r="K22" s="428" t="s">
        <v>43</v>
      </c>
      <c r="L22" s="63" t="s">
        <v>51</v>
      </c>
      <c r="M22" s="64" t="s">
        <v>96</v>
      </c>
      <c r="N22" s="428"/>
      <c r="O22" s="428" t="s">
        <v>44</v>
      </c>
      <c r="P22" s="550" t="s">
        <v>43</v>
      </c>
      <c r="Q22" s="428" t="s">
        <v>43</v>
      </c>
      <c r="R22" s="428" t="s">
        <v>51</v>
      </c>
      <c r="S22" s="64" t="s">
        <v>96</v>
      </c>
      <c r="T22" s="62" t="s">
        <v>108</v>
      </c>
      <c r="U22" s="428" t="s">
        <v>44</v>
      </c>
      <c r="V22" s="428" t="s">
        <v>43</v>
      </c>
      <c r="W22" s="428" t="s">
        <v>43</v>
      </c>
      <c r="X22" s="428" t="s">
        <v>51</v>
      </c>
      <c r="Y22" s="64" t="s">
        <v>96</v>
      </c>
      <c r="Z22" s="63"/>
      <c r="AA22" s="62" t="s">
        <v>108</v>
      </c>
      <c r="AB22" s="428" t="s">
        <v>43</v>
      </c>
      <c r="AC22" s="428" t="s">
        <v>44</v>
      </c>
      <c r="AD22" s="428" t="s">
        <v>51</v>
      </c>
      <c r="AE22" s="64" t="s">
        <v>96</v>
      </c>
      <c r="AF22" s="428" t="s">
        <v>108</v>
      </c>
      <c r="AG22" s="610" t="s">
        <v>43</v>
      </c>
      <c r="AH22" s="201">
        <f t="shared" si="0"/>
        <v>10</v>
      </c>
      <c r="AI22" s="17">
        <f t="shared" si="1"/>
        <v>5</v>
      </c>
      <c r="AJ22" s="17">
        <f t="shared" si="2"/>
        <v>3</v>
      </c>
      <c r="AK22" s="17">
        <f t="shared" si="3"/>
        <v>5</v>
      </c>
      <c r="AL22" s="48">
        <f t="shared" si="4"/>
        <v>0</v>
      </c>
      <c r="AM22" s="17">
        <f t="shared" si="5"/>
        <v>5</v>
      </c>
      <c r="AN22" s="17">
        <f t="shared" si="35"/>
        <v>2</v>
      </c>
      <c r="AO22" s="53">
        <f t="shared" si="7"/>
        <v>1</v>
      </c>
      <c r="AP22" s="37">
        <f t="shared" si="36"/>
        <v>192</v>
      </c>
      <c r="AQ22" s="38">
        <f t="shared" si="37"/>
        <v>24</v>
      </c>
      <c r="AR22" s="38">
        <f t="shared" si="33"/>
        <v>15</v>
      </c>
      <c r="AS22" s="38"/>
      <c r="AT22" s="641">
        <f t="shared" si="34"/>
        <v>39</v>
      </c>
      <c r="AU22" s="87"/>
    </row>
    <row r="23" spans="1:47" ht="26.25" customHeight="1">
      <c r="A23" s="733"/>
      <c r="B23" s="322" t="s">
        <v>101</v>
      </c>
      <c r="C23" s="578"/>
      <c r="D23" s="428" t="s">
        <v>108</v>
      </c>
      <c r="E23" s="63" t="s">
        <v>43</v>
      </c>
      <c r="F23" s="677" t="s">
        <v>39</v>
      </c>
      <c r="G23" s="428" t="s">
        <v>51</v>
      </c>
      <c r="H23" s="64" t="s">
        <v>96</v>
      </c>
      <c r="I23" s="428" t="s">
        <v>108</v>
      </c>
      <c r="J23" s="428" t="s">
        <v>44</v>
      </c>
      <c r="K23" s="428" t="s">
        <v>43</v>
      </c>
      <c r="L23" s="63" t="s">
        <v>43</v>
      </c>
      <c r="M23" s="62" t="s">
        <v>51</v>
      </c>
      <c r="N23" s="64" t="s">
        <v>96</v>
      </c>
      <c r="O23" s="428" t="s">
        <v>108</v>
      </c>
      <c r="P23" s="428" t="s">
        <v>44</v>
      </c>
      <c r="Q23" s="428" t="s">
        <v>43</v>
      </c>
      <c r="R23" s="680" t="s">
        <v>39</v>
      </c>
      <c r="S23" s="63" t="s">
        <v>51</v>
      </c>
      <c r="T23" s="661" t="s">
        <v>96</v>
      </c>
      <c r="U23" s="428"/>
      <c r="V23" s="428" t="s">
        <v>44</v>
      </c>
      <c r="W23" s="428" t="s">
        <v>43</v>
      </c>
      <c r="X23" s="680" t="s">
        <v>39</v>
      </c>
      <c r="Y23" s="428" t="s">
        <v>51</v>
      </c>
      <c r="Z23" s="64" t="s">
        <v>96</v>
      </c>
      <c r="AA23" s="62" t="s">
        <v>108</v>
      </c>
      <c r="AB23" s="428"/>
      <c r="AC23" s="428" t="s">
        <v>43</v>
      </c>
      <c r="AD23" s="680" t="s">
        <v>39</v>
      </c>
      <c r="AE23" s="428" t="s">
        <v>108</v>
      </c>
      <c r="AF23" s="428" t="s">
        <v>51</v>
      </c>
      <c r="AG23" s="663" t="s">
        <v>96</v>
      </c>
      <c r="AH23" s="12">
        <f t="shared" ref="AH23:AH24" si="49">COUNTIF(C23:AG23,"A")+COUNTIF(C23:AG23,"A1")+COUNTIF(C23:AG23,"A2")+COUNTIF(C23:AG23,"A3")+COUNTIF(C23:AG23,"A4")</f>
        <v>10</v>
      </c>
      <c r="AI23" s="13">
        <f t="shared" ref="AI23:AI24" si="50">COUNTIF(C23:AG23,"B")+COUNTIF(C23:AG23,"B1")+COUNTIF(C23:AG23,"B2")+COUNTIF(C23:AG23,"B3")+COUNTIF(C23:AG23,"B4")</f>
        <v>5</v>
      </c>
      <c r="AJ23" s="49">
        <f t="shared" ref="AJ23:AJ24" si="51">COUNTIF(C23:AG23,"C")+COUNTIF(C23:AG23,"C1")+COUNTIF(C23:AG23,"C2")+COUNTIF(C23:AG23,"C3")+COUNTIF(C23:AG23,"C4")</f>
        <v>3</v>
      </c>
      <c r="AK23" s="13">
        <f t="shared" ref="AK23:AK24" si="52">COUNTIF(C23:AG23,"N")+COUNTIF(C23:AG23,"N1")</f>
        <v>5</v>
      </c>
      <c r="AL23" s="49">
        <f t="shared" ref="AL23:AL24" si="53">COUNTIF(C23:AG23,"대휴")</f>
        <v>0</v>
      </c>
      <c r="AM23" s="49">
        <f t="shared" ref="AM23:AM24" si="54">COUNTIF(C23:AG23,"주휴")</f>
        <v>5</v>
      </c>
      <c r="AN23" s="13">
        <f t="shared" ref="AN23:AN24" si="55">COUNTIF(C23:AG23,"")</f>
        <v>3</v>
      </c>
      <c r="AO23" s="54">
        <f t="shared" ref="AO23:AO24" si="56">COUNTIF(C23:AG23,"휴가")</f>
        <v>0</v>
      </c>
      <c r="AP23" s="52">
        <f>(AH23*8)+(AI23*8)+(AJ23*8)+(AK23*8)+(AO23*8)+8</f>
        <v>192</v>
      </c>
      <c r="AQ23" s="15">
        <f t="shared" ref="AQ23:AQ24" si="57">SUM(AP23-$AP$4)</f>
        <v>24</v>
      </c>
      <c r="AR23" s="15">
        <f t="shared" ref="AR23:AR24" si="58">(AK23*3)</f>
        <v>15</v>
      </c>
      <c r="AS23" s="15"/>
      <c r="AT23" s="640">
        <f t="shared" ref="AT23:AT24" si="59">SUM(AQ23:AS23)</f>
        <v>39</v>
      </c>
      <c r="AU23" s="87"/>
    </row>
    <row r="24" spans="1:47" ht="26.25" customHeight="1">
      <c r="A24" s="733"/>
      <c r="B24" s="322" t="s">
        <v>106</v>
      </c>
      <c r="C24" s="578"/>
      <c r="D24" s="428" t="s">
        <v>44</v>
      </c>
      <c r="E24" s="696"/>
      <c r="F24" s="687" t="s">
        <v>111</v>
      </c>
      <c r="G24" s="687" t="s">
        <v>121</v>
      </c>
      <c r="H24" s="686" t="s">
        <v>44</v>
      </c>
      <c r="I24" s="687" t="s">
        <v>110</v>
      </c>
      <c r="J24" s="687" t="s">
        <v>44</v>
      </c>
      <c r="K24" s="428" t="s">
        <v>43</v>
      </c>
      <c r="L24" s="679" t="s">
        <v>39</v>
      </c>
      <c r="M24" s="62" t="s">
        <v>51</v>
      </c>
      <c r="N24" s="64" t="s">
        <v>96</v>
      </c>
      <c r="O24" s="428" t="s">
        <v>108</v>
      </c>
      <c r="P24" s="428" t="s">
        <v>44</v>
      </c>
      <c r="Q24" s="428" t="s">
        <v>43</v>
      </c>
      <c r="R24" s="680" t="s">
        <v>39</v>
      </c>
      <c r="S24" s="63" t="s">
        <v>51</v>
      </c>
      <c r="T24" s="64" t="s">
        <v>96</v>
      </c>
      <c r="U24" s="428"/>
      <c r="V24" s="687"/>
      <c r="W24" s="680" t="s">
        <v>39</v>
      </c>
      <c r="X24" s="550" t="s">
        <v>43</v>
      </c>
      <c r="Y24" s="428" t="s">
        <v>51</v>
      </c>
      <c r="Z24" s="64" t="s">
        <v>96</v>
      </c>
      <c r="AA24" s="62" t="s">
        <v>108</v>
      </c>
      <c r="AB24" s="428" t="s">
        <v>108</v>
      </c>
      <c r="AC24" s="680" t="s">
        <v>39</v>
      </c>
      <c r="AD24" s="428" t="s">
        <v>44</v>
      </c>
      <c r="AE24" s="680" t="s">
        <v>39</v>
      </c>
      <c r="AF24" s="428" t="s">
        <v>51</v>
      </c>
      <c r="AG24" s="663" t="s">
        <v>96</v>
      </c>
      <c r="AH24" s="16">
        <f t="shared" si="49"/>
        <v>8</v>
      </c>
      <c r="AI24" s="17">
        <f t="shared" si="50"/>
        <v>4</v>
      </c>
      <c r="AJ24" s="48">
        <f t="shared" si="51"/>
        <v>7</v>
      </c>
      <c r="AK24" s="17">
        <f t="shared" si="52"/>
        <v>4</v>
      </c>
      <c r="AL24" s="48">
        <f t="shared" si="53"/>
        <v>0</v>
      </c>
      <c r="AM24" s="48">
        <f t="shared" si="54"/>
        <v>4</v>
      </c>
      <c r="AN24" s="17">
        <f t="shared" si="55"/>
        <v>4</v>
      </c>
      <c r="AO24" s="53">
        <f t="shared" si="56"/>
        <v>0</v>
      </c>
      <c r="AP24" s="37">
        <f>(AH24*8)+(AI24*8)+(AJ24*8)+(AK24*8)+(AO24*8)+10</f>
        <v>194</v>
      </c>
      <c r="AQ24" s="38">
        <f t="shared" si="57"/>
        <v>26</v>
      </c>
      <c r="AR24" s="38">
        <f t="shared" si="58"/>
        <v>12</v>
      </c>
      <c r="AS24" s="38"/>
      <c r="AT24" s="641">
        <f t="shared" si="59"/>
        <v>38</v>
      </c>
      <c r="AU24" s="87"/>
    </row>
    <row r="25" spans="1:47" ht="26.25" customHeight="1">
      <c r="A25" s="733"/>
      <c r="B25" s="320" t="s">
        <v>56</v>
      </c>
      <c r="C25" s="664" t="s">
        <v>96</v>
      </c>
      <c r="D25" s="566" t="s">
        <v>108</v>
      </c>
      <c r="E25" s="618" t="s">
        <v>44</v>
      </c>
      <c r="F25" s="619" t="s">
        <v>43</v>
      </c>
      <c r="G25" s="566" t="s">
        <v>43</v>
      </c>
      <c r="H25" s="566" t="s">
        <v>51</v>
      </c>
      <c r="I25" s="654" t="s">
        <v>96</v>
      </c>
      <c r="J25" s="566" t="s">
        <v>108</v>
      </c>
      <c r="K25" s="567" t="s">
        <v>44</v>
      </c>
      <c r="L25" s="618" t="s">
        <v>43</v>
      </c>
      <c r="M25" s="619" t="s">
        <v>43</v>
      </c>
      <c r="N25" s="566" t="s">
        <v>51</v>
      </c>
      <c r="O25" s="654" t="s">
        <v>96</v>
      </c>
      <c r="P25" s="566" t="s">
        <v>108</v>
      </c>
      <c r="Q25" s="566" t="s">
        <v>44</v>
      </c>
      <c r="R25" s="566" t="s">
        <v>43</v>
      </c>
      <c r="S25" s="618" t="s">
        <v>43</v>
      </c>
      <c r="T25" s="619" t="s">
        <v>51</v>
      </c>
      <c r="U25" s="654" t="s">
        <v>96</v>
      </c>
      <c r="V25" s="566"/>
      <c r="W25" s="566" t="s">
        <v>108</v>
      </c>
      <c r="X25" s="566" t="s">
        <v>43</v>
      </c>
      <c r="Y25" s="566" t="s">
        <v>43</v>
      </c>
      <c r="Z25" s="618" t="s">
        <v>51</v>
      </c>
      <c r="AA25" s="654" t="s">
        <v>96</v>
      </c>
      <c r="AB25" s="566"/>
      <c r="AC25" s="566" t="s">
        <v>108</v>
      </c>
      <c r="AD25" s="566" t="s">
        <v>43</v>
      </c>
      <c r="AE25" s="566" t="s">
        <v>51</v>
      </c>
      <c r="AF25" s="566" t="s">
        <v>44</v>
      </c>
      <c r="AG25" s="620" t="s">
        <v>43</v>
      </c>
      <c r="AH25" s="201">
        <f t="shared" si="0"/>
        <v>10</v>
      </c>
      <c r="AI25" s="17">
        <f t="shared" si="1"/>
        <v>5</v>
      </c>
      <c r="AJ25" s="17">
        <f t="shared" si="2"/>
        <v>4</v>
      </c>
      <c r="AK25" s="17">
        <f t="shared" si="3"/>
        <v>5</v>
      </c>
      <c r="AL25" s="48">
        <f t="shared" si="4"/>
        <v>0</v>
      </c>
      <c r="AM25" s="48">
        <f t="shared" si="5"/>
        <v>5</v>
      </c>
      <c r="AN25" s="17">
        <f t="shared" si="35"/>
        <v>2</v>
      </c>
      <c r="AO25" s="53">
        <f t="shared" si="7"/>
        <v>0</v>
      </c>
      <c r="AP25" s="37">
        <f t="shared" si="36"/>
        <v>192</v>
      </c>
      <c r="AQ25" s="38">
        <f t="shared" si="37"/>
        <v>24</v>
      </c>
      <c r="AR25" s="38">
        <f t="shared" si="33"/>
        <v>15</v>
      </c>
      <c r="AS25" s="38"/>
      <c r="AT25" s="641">
        <f t="shared" si="34"/>
        <v>39</v>
      </c>
      <c r="AU25" s="87"/>
    </row>
    <row r="26" spans="1:47" ht="26.25" customHeight="1" thickBot="1">
      <c r="A26" s="733"/>
      <c r="B26" s="642" t="s">
        <v>102</v>
      </c>
      <c r="C26" s="581" t="s">
        <v>51</v>
      </c>
      <c r="D26" s="666" t="s">
        <v>96</v>
      </c>
      <c r="E26" s="605" t="s">
        <v>109</v>
      </c>
      <c r="F26" s="591" t="s">
        <v>108</v>
      </c>
      <c r="G26" s="569" t="s">
        <v>43</v>
      </c>
      <c r="H26" s="689" t="s">
        <v>37</v>
      </c>
      <c r="I26" s="569" t="s">
        <v>51</v>
      </c>
      <c r="J26" s="665" t="s">
        <v>96</v>
      </c>
      <c r="K26" s="569" t="s">
        <v>108</v>
      </c>
      <c r="L26" s="605" t="s">
        <v>44</v>
      </c>
      <c r="M26" s="681" t="s">
        <v>39</v>
      </c>
      <c r="N26" s="569" t="s">
        <v>43</v>
      </c>
      <c r="O26" s="569" t="s">
        <v>51</v>
      </c>
      <c r="P26" s="665" t="s">
        <v>96</v>
      </c>
      <c r="Q26" s="569" t="s">
        <v>108</v>
      </c>
      <c r="R26" s="688" t="s">
        <v>43</v>
      </c>
      <c r="S26" s="605" t="s">
        <v>43</v>
      </c>
      <c r="T26" s="681" t="s">
        <v>39</v>
      </c>
      <c r="U26" s="569" t="s">
        <v>51</v>
      </c>
      <c r="V26" s="665" t="s">
        <v>96</v>
      </c>
      <c r="W26" s="569"/>
      <c r="X26" s="569" t="s">
        <v>108</v>
      </c>
      <c r="Y26" s="569" t="s">
        <v>43</v>
      </c>
      <c r="Z26" s="678" t="s">
        <v>39</v>
      </c>
      <c r="AA26" s="591" t="s">
        <v>51</v>
      </c>
      <c r="AB26" s="665" t="s">
        <v>96</v>
      </c>
      <c r="AC26" s="569"/>
      <c r="AD26" s="569" t="s">
        <v>43</v>
      </c>
      <c r="AE26" s="569" t="s">
        <v>43</v>
      </c>
      <c r="AF26" s="665" t="s">
        <v>96</v>
      </c>
      <c r="AG26" s="614" t="s">
        <v>108</v>
      </c>
      <c r="AH26" s="643">
        <f t="shared" si="0"/>
        <v>10</v>
      </c>
      <c r="AI26" s="644">
        <f t="shared" si="1"/>
        <v>5</v>
      </c>
      <c r="AJ26" s="645">
        <f t="shared" si="2"/>
        <v>1</v>
      </c>
      <c r="AK26" s="644">
        <f t="shared" si="3"/>
        <v>6</v>
      </c>
      <c r="AL26" s="645">
        <f t="shared" si="4"/>
        <v>1</v>
      </c>
      <c r="AM26" s="645">
        <f t="shared" si="5"/>
        <v>5</v>
      </c>
      <c r="AN26" s="644">
        <f t="shared" si="35"/>
        <v>2</v>
      </c>
      <c r="AO26" s="646">
        <f t="shared" si="7"/>
        <v>1</v>
      </c>
      <c r="AP26" s="647">
        <f>(AH26*8)+(AI26*8)+(AJ26*8)+(AK26*8)+(AO26*8)+6</f>
        <v>190</v>
      </c>
      <c r="AQ26" s="648">
        <f t="shared" si="37"/>
        <v>22</v>
      </c>
      <c r="AR26" s="648">
        <f t="shared" si="33"/>
        <v>18</v>
      </c>
      <c r="AS26" s="648"/>
      <c r="AT26" s="649">
        <f t="shared" si="34"/>
        <v>40</v>
      </c>
      <c r="AU26" s="87"/>
    </row>
    <row r="27" spans="1:47" ht="26.25" customHeight="1" thickBot="1">
      <c r="A27" s="170"/>
      <c r="B27" s="224" t="s">
        <v>61</v>
      </c>
      <c r="C27" s="582">
        <f t="shared" ref="C27:AG27" si="60">COUNTIF(C8:C26,"A")+COUNTIF(C8:C26,"B")+COUNTIF(C8:C26,"C")+COUNTIF(C8:C26,"A2")+COUNTIF(C8:C26,"A3")+COUNTIF(C8:C26,"A1")+COUNTIF(C8:C26,"A4")+COUNTIF(C8:C26,"B2")+COUNTIF(C8:C26,"B1")+COUNTIF(C8:C26,"C2")+COUNTIF(C8:C26,"C1")+COUNTIF(C8:C26,"C3")+COUNTIF(C8:C26,"C4")</f>
        <v>8</v>
      </c>
      <c r="D27" s="337">
        <f t="shared" si="60"/>
        <v>13</v>
      </c>
      <c r="E27" s="338">
        <f t="shared" si="60"/>
        <v>9</v>
      </c>
      <c r="F27" s="345">
        <f t="shared" si="60"/>
        <v>6</v>
      </c>
      <c r="G27" s="337">
        <f t="shared" si="60"/>
        <v>13</v>
      </c>
      <c r="H27" s="337">
        <f t="shared" si="60"/>
        <v>12</v>
      </c>
      <c r="I27" s="543">
        <f t="shared" si="60"/>
        <v>13</v>
      </c>
      <c r="J27" s="542">
        <f t="shared" si="60"/>
        <v>14</v>
      </c>
      <c r="K27" s="337">
        <f t="shared" si="60"/>
        <v>12</v>
      </c>
      <c r="L27" s="338">
        <f t="shared" si="60"/>
        <v>9</v>
      </c>
      <c r="M27" s="345">
        <f t="shared" si="60"/>
        <v>11</v>
      </c>
      <c r="N27" s="337">
        <f t="shared" si="60"/>
        <v>13</v>
      </c>
      <c r="O27" s="337">
        <f t="shared" si="60"/>
        <v>13</v>
      </c>
      <c r="P27" s="543">
        <f t="shared" si="60"/>
        <v>12</v>
      </c>
      <c r="Q27" s="542">
        <f t="shared" si="60"/>
        <v>12</v>
      </c>
      <c r="R27" s="337">
        <f t="shared" si="60"/>
        <v>12</v>
      </c>
      <c r="S27" s="338">
        <f t="shared" si="60"/>
        <v>9</v>
      </c>
      <c r="T27" s="345">
        <f t="shared" si="60"/>
        <v>8</v>
      </c>
      <c r="U27" s="337">
        <f t="shared" si="60"/>
        <v>11</v>
      </c>
      <c r="V27" s="337">
        <f t="shared" si="60"/>
        <v>13</v>
      </c>
      <c r="W27" s="543">
        <f t="shared" si="60"/>
        <v>13</v>
      </c>
      <c r="X27" s="542">
        <f t="shared" si="60"/>
        <v>11</v>
      </c>
      <c r="Y27" s="337">
        <f t="shared" si="60"/>
        <v>12</v>
      </c>
      <c r="Z27" s="338">
        <f t="shared" si="60"/>
        <v>8</v>
      </c>
      <c r="AA27" s="345">
        <f t="shared" si="60"/>
        <v>9</v>
      </c>
      <c r="AB27" s="337">
        <f t="shared" si="60"/>
        <v>11</v>
      </c>
      <c r="AC27" s="337">
        <f t="shared" si="60"/>
        <v>12</v>
      </c>
      <c r="AD27" s="543">
        <f t="shared" si="60"/>
        <v>12</v>
      </c>
      <c r="AE27" s="542">
        <f t="shared" si="60"/>
        <v>11</v>
      </c>
      <c r="AF27" s="543">
        <f t="shared" si="60"/>
        <v>13</v>
      </c>
      <c r="AG27" s="615">
        <f t="shared" si="60"/>
        <v>9</v>
      </c>
      <c r="AH27" s="40"/>
      <c r="AI27" s="71"/>
      <c r="AJ27" s="40"/>
      <c r="AK27" s="71"/>
      <c r="AL27" s="40"/>
      <c r="AM27" s="40"/>
      <c r="AN27" s="40"/>
      <c r="AO27" s="40"/>
      <c r="AP27" s="41"/>
      <c r="AQ27" s="42"/>
      <c r="AR27" s="42"/>
      <c r="AS27" s="42"/>
      <c r="AT27" s="42"/>
    </row>
    <row r="28" spans="1:47" ht="16.5" customHeight="1">
      <c r="A28" s="28" t="s">
        <v>62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9"/>
      <c r="Q28" s="28"/>
      <c r="R28" s="28"/>
      <c r="S28" s="28"/>
      <c r="T28" s="28"/>
      <c r="U28" s="28"/>
      <c r="V28" s="28"/>
      <c r="W28" s="28"/>
      <c r="X28" s="28"/>
      <c r="Y28" s="28"/>
      <c r="Z28" s="541"/>
      <c r="AA28" s="28"/>
      <c r="AB28" s="28"/>
      <c r="AC28" s="28"/>
      <c r="AD28" s="28"/>
      <c r="AE28" s="28"/>
      <c r="AF28" s="28"/>
      <c r="AG28" s="28"/>
      <c r="AH28" s="22" t="s">
        <v>63</v>
      </c>
      <c r="AI28" s="72"/>
      <c r="AJ28" s="20"/>
      <c r="AK28" s="22" t="s">
        <v>64</v>
      </c>
      <c r="AL28" s="27"/>
      <c r="AM28" s="26"/>
      <c r="AN28" s="22"/>
      <c r="AO28" s="22" t="s">
        <v>65</v>
      </c>
      <c r="AP28" s="22"/>
      <c r="AQ28" s="26"/>
      <c r="AR28" s="19"/>
      <c r="AS28" s="734"/>
      <c r="AT28" s="734"/>
    </row>
    <row r="29" spans="1:47" ht="16.5" customHeight="1">
      <c r="A29" s="31" t="s">
        <v>66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H29" s="34" t="s">
        <v>44</v>
      </c>
      <c r="AI29" s="28"/>
      <c r="AJ29" s="35" t="s">
        <v>44</v>
      </c>
      <c r="AK29" s="72"/>
      <c r="AL29" s="24" t="s">
        <v>37</v>
      </c>
      <c r="AM29" s="57"/>
      <c r="AN29" s="36" t="s">
        <v>44</v>
      </c>
      <c r="AO29" s="21"/>
      <c r="AP29" s="25"/>
      <c r="AQ29" s="19"/>
      <c r="AR29" s="19"/>
      <c r="AS29" s="734"/>
      <c r="AT29" s="734"/>
    </row>
    <row r="30" spans="1:47" ht="12.75" customHeight="1">
      <c r="A30" s="30"/>
      <c r="B30" s="31" t="s">
        <v>67</v>
      </c>
      <c r="C30" s="21"/>
      <c r="D30" s="21"/>
      <c r="E30" s="21"/>
      <c r="F30" s="21"/>
      <c r="G30" s="21"/>
      <c r="H30" s="21"/>
      <c r="I30" s="21"/>
      <c r="J30" s="31" t="s">
        <v>68</v>
      </c>
      <c r="K30" s="32"/>
      <c r="L30" s="32"/>
      <c r="M30" s="21"/>
      <c r="P30" s="21"/>
      <c r="Q30" s="21"/>
      <c r="R30" s="21"/>
      <c r="S30" s="33" t="s">
        <v>69</v>
      </c>
      <c r="T30" s="21"/>
      <c r="U30" s="21"/>
      <c r="V30" s="21"/>
      <c r="W30" s="21"/>
      <c r="X30" s="21"/>
      <c r="Y30" s="21"/>
      <c r="AH30" s="23" t="s">
        <v>70</v>
      </c>
      <c r="AI30" s="23"/>
      <c r="AJ30" s="23" t="s">
        <v>71</v>
      </c>
      <c r="AK30" s="2"/>
      <c r="AL30" s="2"/>
      <c r="AM30" s="2"/>
      <c r="AN30" s="722" t="s">
        <v>72</v>
      </c>
      <c r="AO30" s="722"/>
      <c r="AP30" s="722"/>
      <c r="AQ30" s="722"/>
      <c r="AR30" s="722"/>
      <c r="AS30" s="722"/>
      <c r="AT30" s="2"/>
    </row>
    <row r="31" spans="1:47" ht="12" customHeight="1">
      <c r="A31" s="723" t="s">
        <v>73</v>
      </c>
      <c r="B31" s="723"/>
      <c r="C31" s="723"/>
      <c r="D31" s="723"/>
      <c r="E31" s="723"/>
      <c r="F31" s="723"/>
      <c r="G31" s="723"/>
      <c r="H31" s="723"/>
      <c r="I31" s="723"/>
      <c r="J31" s="723"/>
      <c r="K31" s="723"/>
      <c r="L31" s="723"/>
      <c r="M31" s="723"/>
      <c r="N31" s="723"/>
      <c r="O31" s="723"/>
      <c r="P31" s="723"/>
      <c r="Q31" s="723"/>
      <c r="R31" s="723"/>
      <c r="S31" s="723"/>
      <c r="T31" s="723"/>
      <c r="U31" s="723"/>
      <c r="V31" s="723"/>
      <c r="W31" s="723"/>
      <c r="X31" s="723"/>
      <c r="Y31" s="723"/>
      <c r="Z31" s="723"/>
      <c r="AA31" s="723"/>
      <c r="AB31" s="723"/>
      <c r="AC31" s="723"/>
      <c r="AD31" s="723"/>
      <c r="AE31" s="723"/>
      <c r="AF31" s="723"/>
      <c r="AG31" s="723"/>
      <c r="AH31" s="723"/>
      <c r="AI31" s="723"/>
      <c r="AJ31" s="723"/>
      <c r="AK31" s="723"/>
      <c r="AL31" s="723"/>
      <c r="AM31" s="723"/>
      <c r="AN31" s="723"/>
      <c r="AO31" s="723"/>
      <c r="AP31" s="723"/>
      <c r="AQ31" s="723"/>
      <c r="AR31" s="723"/>
      <c r="AS31" s="723"/>
      <c r="AT31" s="723"/>
    </row>
    <row r="32" spans="1:47" ht="12" customHeight="1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3"/>
      <c r="P32" s="723"/>
      <c r="Q32" s="723"/>
      <c r="R32" s="723"/>
      <c r="S32" s="723"/>
      <c r="T32" s="723"/>
      <c r="U32" s="723"/>
      <c r="V32" s="723"/>
      <c r="W32" s="723"/>
      <c r="X32" s="723"/>
      <c r="Y32" s="723"/>
      <c r="Z32" s="723"/>
      <c r="AA32" s="723"/>
      <c r="AB32" s="723"/>
      <c r="AC32" s="723"/>
      <c r="AD32" s="723"/>
      <c r="AE32" s="723"/>
      <c r="AF32" s="723"/>
      <c r="AG32" s="723"/>
      <c r="AH32" s="723"/>
      <c r="AI32" s="723"/>
      <c r="AJ32" s="723"/>
      <c r="AK32" s="723"/>
      <c r="AL32" s="723"/>
      <c r="AM32" s="723"/>
      <c r="AN32" s="723"/>
      <c r="AO32" s="723"/>
      <c r="AP32" s="723"/>
      <c r="AQ32" s="723"/>
      <c r="AR32" s="723"/>
      <c r="AS32" s="723"/>
      <c r="AT32" s="723"/>
    </row>
    <row r="33" spans="1:46" ht="18.75" customHeight="1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3"/>
      <c r="P33" s="723"/>
      <c r="Q33" s="723"/>
      <c r="R33" s="723"/>
      <c r="S33" s="723"/>
      <c r="T33" s="723"/>
      <c r="U33" s="723"/>
      <c r="V33" s="723"/>
      <c r="W33" s="723"/>
      <c r="X33" s="723"/>
      <c r="Y33" s="723"/>
      <c r="Z33" s="723"/>
      <c r="AA33" s="723"/>
      <c r="AB33" s="723"/>
      <c r="AC33" s="723"/>
      <c r="AD33" s="723"/>
      <c r="AE33" s="723"/>
      <c r="AF33" s="723"/>
      <c r="AG33" s="723"/>
      <c r="AH33" s="723"/>
      <c r="AI33" s="723"/>
      <c r="AJ33" s="723"/>
      <c r="AK33" s="723"/>
      <c r="AL33" s="723"/>
      <c r="AM33" s="723"/>
      <c r="AN33" s="723"/>
      <c r="AO33" s="723"/>
      <c r="AP33" s="723"/>
      <c r="AQ33" s="723"/>
      <c r="AR33" s="723"/>
      <c r="AS33" s="723"/>
      <c r="AT33" s="723"/>
    </row>
    <row r="34" spans="1:46" ht="12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2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2" customHeight="1">
      <c r="A36" s="45" t="s">
        <v>74</v>
      </c>
      <c r="B36" s="46"/>
      <c r="C36" s="46">
        <f t="shared" ref="C36:AG36" si="61">COUNTIF(C3:C26,"A")+COUNTIF(C3:C26,"A1")+COUNTIF(C3:C26,"A2")+COUNTIF(C3:C26,"A3")+COUNTIF(C3:C26,"A4")</f>
        <v>4</v>
      </c>
      <c r="D36" s="46">
        <f t="shared" si="61"/>
        <v>5</v>
      </c>
      <c r="E36" s="46">
        <f t="shared" si="61"/>
        <v>5</v>
      </c>
      <c r="F36" s="46">
        <f t="shared" si="61"/>
        <v>4</v>
      </c>
      <c r="G36" s="46">
        <f t="shared" si="61"/>
        <v>5</v>
      </c>
      <c r="H36" s="50">
        <f t="shared" si="61"/>
        <v>5</v>
      </c>
      <c r="I36" s="51">
        <f t="shared" si="61"/>
        <v>5</v>
      </c>
      <c r="J36" s="46">
        <f t="shared" si="61"/>
        <v>5</v>
      </c>
      <c r="K36" s="46">
        <f t="shared" si="61"/>
        <v>6</v>
      </c>
      <c r="L36" s="46">
        <f t="shared" si="61"/>
        <v>5</v>
      </c>
      <c r="M36" s="46">
        <f t="shared" si="61"/>
        <v>5</v>
      </c>
      <c r="N36" s="46">
        <f t="shared" si="61"/>
        <v>5</v>
      </c>
      <c r="O36" s="50">
        <f t="shared" si="61"/>
        <v>4</v>
      </c>
      <c r="P36" s="51">
        <f t="shared" si="61"/>
        <v>4</v>
      </c>
      <c r="Q36" s="46">
        <f t="shared" si="61"/>
        <v>5</v>
      </c>
      <c r="R36" s="46">
        <f t="shared" si="61"/>
        <v>7</v>
      </c>
      <c r="S36" s="46">
        <f t="shared" si="61"/>
        <v>5</v>
      </c>
      <c r="T36" s="46">
        <f t="shared" si="61"/>
        <v>4</v>
      </c>
      <c r="U36" s="46">
        <f t="shared" si="61"/>
        <v>5</v>
      </c>
      <c r="V36" s="50">
        <f t="shared" si="61"/>
        <v>5</v>
      </c>
      <c r="W36" s="51">
        <f t="shared" si="61"/>
        <v>7</v>
      </c>
      <c r="X36" s="46">
        <f t="shared" si="61"/>
        <v>6</v>
      </c>
      <c r="Y36" s="46">
        <f t="shared" si="61"/>
        <v>5</v>
      </c>
      <c r="Z36" s="46">
        <f t="shared" si="61"/>
        <v>6</v>
      </c>
      <c r="AA36" s="51">
        <f t="shared" si="61"/>
        <v>5</v>
      </c>
      <c r="AB36" s="46">
        <f t="shared" si="61"/>
        <v>4</v>
      </c>
      <c r="AC36" s="50">
        <f t="shared" si="61"/>
        <v>5</v>
      </c>
      <c r="AD36" s="51">
        <f t="shared" si="61"/>
        <v>6</v>
      </c>
      <c r="AE36" s="46">
        <f t="shared" si="61"/>
        <v>5</v>
      </c>
      <c r="AF36" s="46">
        <f t="shared" si="61"/>
        <v>6</v>
      </c>
      <c r="AG36" s="46">
        <f t="shared" si="61"/>
        <v>4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2" customHeight="1">
      <c r="A37" s="45" t="s">
        <v>75</v>
      </c>
      <c r="B37" s="46"/>
      <c r="C37" s="46">
        <f t="shared" ref="C37:AG37" si="62">COUNTIF(C3:C26,"B")+COUNTIF(C3:C26,"B1")+COUNTIF(C3:C26,"B2")+COUNTIF(C3:C26,"B3")+COUNTIF(C3:C26,"B4")</f>
        <v>2</v>
      </c>
      <c r="D37" s="46">
        <f t="shared" si="62"/>
        <v>2</v>
      </c>
      <c r="E37" s="46">
        <f t="shared" si="62"/>
        <v>3</v>
      </c>
      <c r="F37" s="46">
        <f t="shared" si="62"/>
        <v>2</v>
      </c>
      <c r="G37" s="46">
        <f t="shared" si="62"/>
        <v>3</v>
      </c>
      <c r="H37" s="50">
        <f t="shared" si="62"/>
        <v>2</v>
      </c>
      <c r="I37" s="51">
        <f t="shared" si="62"/>
        <v>3</v>
      </c>
      <c r="J37" s="46">
        <f t="shared" si="62"/>
        <v>3</v>
      </c>
      <c r="K37" s="46">
        <f t="shared" si="62"/>
        <v>2</v>
      </c>
      <c r="L37" s="46">
        <f t="shared" si="62"/>
        <v>3</v>
      </c>
      <c r="M37" s="46">
        <f t="shared" si="62"/>
        <v>3</v>
      </c>
      <c r="N37" s="46">
        <f t="shared" si="62"/>
        <v>2</v>
      </c>
      <c r="O37" s="50">
        <f t="shared" si="62"/>
        <v>4</v>
      </c>
      <c r="P37" s="51">
        <f t="shared" si="62"/>
        <v>3</v>
      </c>
      <c r="Q37" s="46">
        <f t="shared" si="62"/>
        <v>3</v>
      </c>
      <c r="R37" s="46">
        <f t="shared" si="62"/>
        <v>2</v>
      </c>
      <c r="S37" s="46">
        <f t="shared" si="62"/>
        <v>3</v>
      </c>
      <c r="T37" s="46">
        <f t="shared" si="62"/>
        <v>3</v>
      </c>
      <c r="U37" s="46">
        <f t="shared" si="62"/>
        <v>2</v>
      </c>
      <c r="V37" s="50">
        <f t="shared" si="62"/>
        <v>3</v>
      </c>
      <c r="W37" s="51">
        <f t="shared" si="62"/>
        <v>4</v>
      </c>
      <c r="X37" s="46">
        <f t="shared" si="62"/>
        <v>2</v>
      </c>
      <c r="Y37" s="46">
        <f t="shared" si="62"/>
        <v>4</v>
      </c>
      <c r="Z37" s="46">
        <f t="shared" si="62"/>
        <v>2</v>
      </c>
      <c r="AA37" s="51">
        <f t="shared" si="62"/>
        <v>3</v>
      </c>
      <c r="AB37" s="46">
        <f t="shared" si="62"/>
        <v>3</v>
      </c>
      <c r="AC37" s="50">
        <f t="shared" si="62"/>
        <v>3</v>
      </c>
      <c r="AD37" s="51">
        <f t="shared" si="62"/>
        <v>2</v>
      </c>
      <c r="AE37" s="46">
        <f t="shared" si="62"/>
        <v>4</v>
      </c>
      <c r="AF37" s="46">
        <f t="shared" si="62"/>
        <v>4</v>
      </c>
      <c r="AG37" s="46">
        <f t="shared" si="62"/>
        <v>3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2" customHeight="1">
      <c r="A38" s="45" t="s">
        <v>76</v>
      </c>
      <c r="B38" s="46"/>
      <c r="C38" s="46">
        <f t="shared" ref="C38:AG38" si="63">COUNTIF(C3:C26,"C")+COUNTIF(C3:C26,"C1")+COUNTIF(C3:C26,"C2")+COUNTIF(C3:C26,"C3")+COUNTIF(C3:C26,"C4")</f>
        <v>2</v>
      </c>
      <c r="D38" s="46">
        <f t="shared" si="63"/>
        <v>6</v>
      </c>
      <c r="E38" s="46">
        <f t="shared" si="63"/>
        <v>1</v>
      </c>
      <c r="F38" s="46">
        <f t="shared" si="63"/>
        <v>1</v>
      </c>
      <c r="G38" s="46">
        <f t="shared" si="63"/>
        <v>5</v>
      </c>
      <c r="H38" s="50">
        <f t="shared" si="63"/>
        <v>5</v>
      </c>
      <c r="I38" s="51">
        <f t="shared" si="63"/>
        <v>5</v>
      </c>
      <c r="J38" s="46">
        <f t="shared" si="63"/>
        <v>6</v>
      </c>
      <c r="K38" s="46">
        <f t="shared" si="63"/>
        <v>4</v>
      </c>
      <c r="L38" s="46">
        <f t="shared" si="63"/>
        <v>1</v>
      </c>
      <c r="M38" s="46">
        <f t="shared" si="63"/>
        <v>3</v>
      </c>
      <c r="N38" s="46">
        <f t="shared" si="63"/>
        <v>6</v>
      </c>
      <c r="O38" s="50">
        <f t="shared" si="63"/>
        <v>5</v>
      </c>
      <c r="P38" s="51">
        <f t="shared" si="63"/>
        <v>5</v>
      </c>
      <c r="Q38" s="46">
        <f t="shared" si="63"/>
        <v>4</v>
      </c>
      <c r="R38" s="46">
        <f t="shared" si="63"/>
        <v>3</v>
      </c>
      <c r="S38" s="46">
        <f t="shared" si="63"/>
        <v>1</v>
      </c>
      <c r="T38" s="46">
        <f t="shared" si="63"/>
        <v>1</v>
      </c>
      <c r="U38" s="46">
        <f t="shared" si="63"/>
        <v>4</v>
      </c>
      <c r="V38" s="50">
        <f t="shared" si="63"/>
        <v>5</v>
      </c>
      <c r="W38" s="51">
        <f t="shared" si="63"/>
        <v>2</v>
      </c>
      <c r="X38" s="46">
        <f t="shared" si="63"/>
        <v>3</v>
      </c>
      <c r="Y38" s="46">
        <f t="shared" si="63"/>
        <v>3</v>
      </c>
      <c r="Z38" s="46">
        <f t="shared" si="63"/>
        <v>0</v>
      </c>
      <c r="AA38" s="51">
        <f t="shared" si="63"/>
        <v>1</v>
      </c>
      <c r="AB38" s="46">
        <f t="shared" si="63"/>
        <v>4</v>
      </c>
      <c r="AC38" s="50">
        <f t="shared" si="63"/>
        <v>4</v>
      </c>
      <c r="AD38" s="51">
        <f t="shared" si="63"/>
        <v>4</v>
      </c>
      <c r="AE38" s="46">
        <f t="shared" si="63"/>
        <v>2</v>
      </c>
      <c r="AF38" s="46">
        <f t="shared" si="63"/>
        <v>3</v>
      </c>
      <c r="AG38" s="46">
        <f t="shared" si="63"/>
        <v>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ht="12" customHeight="1">
      <c r="A39" s="45" t="s">
        <v>77</v>
      </c>
      <c r="B39" s="46"/>
      <c r="C39" s="46">
        <f t="shared" ref="C39:AG39" si="64">COUNTIF(C3:C26,"N")+COUNTIF(C3:C26,"N1")+COUNTIF(C3:C26,"N2")+COUNTIF(C3:C26,"N3")+COUNTIF(C3:C26,"N4")</f>
        <v>2</v>
      </c>
      <c r="D39" s="46">
        <f t="shared" si="64"/>
        <v>2</v>
      </c>
      <c r="E39" s="46">
        <f t="shared" si="64"/>
        <v>2</v>
      </c>
      <c r="F39" s="46">
        <f t="shared" si="64"/>
        <v>2</v>
      </c>
      <c r="G39" s="46">
        <f t="shared" si="64"/>
        <v>2</v>
      </c>
      <c r="H39" s="50">
        <f t="shared" si="64"/>
        <v>2</v>
      </c>
      <c r="I39" s="51">
        <f t="shared" si="64"/>
        <v>2</v>
      </c>
      <c r="J39" s="46">
        <f t="shared" si="64"/>
        <v>3</v>
      </c>
      <c r="K39" s="46">
        <f t="shared" si="64"/>
        <v>3</v>
      </c>
      <c r="L39" s="46">
        <f t="shared" si="64"/>
        <v>4</v>
      </c>
      <c r="M39" s="46">
        <f t="shared" si="64"/>
        <v>3</v>
      </c>
      <c r="N39" s="46">
        <f t="shared" si="64"/>
        <v>3</v>
      </c>
      <c r="O39" s="50">
        <f t="shared" si="64"/>
        <v>2</v>
      </c>
      <c r="P39" s="51">
        <f t="shared" si="64"/>
        <v>3</v>
      </c>
      <c r="Q39" s="46">
        <f t="shared" si="64"/>
        <v>3</v>
      </c>
      <c r="R39" s="46">
        <f t="shared" si="64"/>
        <v>4</v>
      </c>
      <c r="S39" s="46">
        <f t="shared" si="64"/>
        <v>3</v>
      </c>
      <c r="T39" s="46">
        <f t="shared" si="64"/>
        <v>3</v>
      </c>
      <c r="U39" s="46">
        <f t="shared" si="64"/>
        <v>3</v>
      </c>
      <c r="V39" s="50">
        <f t="shared" si="64"/>
        <v>2</v>
      </c>
      <c r="W39" s="51">
        <f t="shared" si="64"/>
        <v>3</v>
      </c>
      <c r="X39" s="46">
        <f t="shared" si="64"/>
        <v>4</v>
      </c>
      <c r="Y39" s="46">
        <f t="shared" si="64"/>
        <v>2</v>
      </c>
      <c r="Z39" s="46">
        <f t="shared" si="64"/>
        <v>4</v>
      </c>
      <c r="AA39" s="51">
        <f t="shared" si="64"/>
        <v>2</v>
      </c>
      <c r="AB39" s="46">
        <f t="shared" si="64"/>
        <v>3</v>
      </c>
      <c r="AC39" s="50">
        <f t="shared" si="64"/>
        <v>3</v>
      </c>
      <c r="AD39" s="51">
        <f t="shared" si="64"/>
        <v>3</v>
      </c>
      <c r="AE39" s="46">
        <f t="shared" si="64"/>
        <v>2</v>
      </c>
      <c r="AF39" s="46">
        <f t="shared" si="64"/>
        <v>4</v>
      </c>
      <c r="AG39" s="46">
        <f t="shared" si="64"/>
        <v>3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ht="12" customHeight="1">
      <c r="A40" s="46" t="s">
        <v>78</v>
      </c>
      <c r="B40" s="46"/>
      <c r="C40" s="46">
        <f>SUM(C36:C39)</f>
        <v>10</v>
      </c>
      <c r="D40" s="46">
        <f t="shared" ref="D40:AG40" si="65">SUM(D36:D39)</f>
        <v>15</v>
      </c>
      <c r="E40" s="46">
        <f t="shared" si="65"/>
        <v>11</v>
      </c>
      <c r="F40" s="46">
        <f t="shared" si="65"/>
        <v>9</v>
      </c>
      <c r="G40" s="46">
        <f t="shared" si="65"/>
        <v>15</v>
      </c>
      <c r="H40" s="50">
        <f t="shared" si="65"/>
        <v>14</v>
      </c>
      <c r="I40" s="51">
        <f t="shared" si="65"/>
        <v>15</v>
      </c>
      <c r="J40" s="46">
        <f t="shared" si="65"/>
        <v>17</v>
      </c>
      <c r="K40" s="46">
        <f t="shared" si="65"/>
        <v>15</v>
      </c>
      <c r="L40" s="46">
        <f t="shared" si="65"/>
        <v>13</v>
      </c>
      <c r="M40" s="46">
        <f t="shared" si="65"/>
        <v>14</v>
      </c>
      <c r="N40" s="46">
        <f t="shared" si="65"/>
        <v>16</v>
      </c>
      <c r="O40" s="50">
        <f t="shared" si="65"/>
        <v>15</v>
      </c>
      <c r="P40" s="51">
        <f t="shared" si="65"/>
        <v>15</v>
      </c>
      <c r="Q40" s="46">
        <f t="shared" si="65"/>
        <v>15</v>
      </c>
      <c r="R40" s="46">
        <f t="shared" si="65"/>
        <v>16</v>
      </c>
      <c r="S40" s="46">
        <f t="shared" si="65"/>
        <v>12</v>
      </c>
      <c r="T40" s="46">
        <f t="shared" si="65"/>
        <v>11</v>
      </c>
      <c r="U40" s="46">
        <f t="shared" si="65"/>
        <v>14</v>
      </c>
      <c r="V40" s="50">
        <f t="shared" si="65"/>
        <v>15</v>
      </c>
      <c r="W40" s="51">
        <f t="shared" si="65"/>
        <v>16</v>
      </c>
      <c r="X40" s="46">
        <f t="shared" si="65"/>
        <v>15</v>
      </c>
      <c r="Y40" s="46">
        <f>SUM(Y36:Y39)</f>
        <v>14</v>
      </c>
      <c r="Z40" s="46">
        <f t="shared" si="65"/>
        <v>12</v>
      </c>
      <c r="AA40" s="51">
        <f t="shared" si="65"/>
        <v>11</v>
      </c>
      <c r="AB40" s="46">
        <f t="shared" si="65"/>
        <v>14</v>
      </c>
      <c r="AC40" s="50">
        <f t="shared" si="65"/>
        <v>15</v>
      </c>
      <c r="AD40" s="51">
        <f t="shared" si="65"/>
        <v>15</v>
      </c>
      <c r="AE40" s="46">
        <f t="shared" si="65"/>
        <v>13</v>
      </c>
      <c r="AF40" s="46">
        <f t="shared" si="65"/>
        <v>17</v>
      </c>
      <c r="AG40" s="46">
        <f t="shared" si="65"/>
        <v>12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2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2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2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2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ht="1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ht="12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ht="12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ht="12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ht="12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ht="12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ht="12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ht="12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ht="12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ht="12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ht="12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ht="12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ht="12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ht="12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ht="12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ht="12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ht="12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ht="12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ht="12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ht="12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ht="12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ht="12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ht="12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ht="12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ht="12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ht="12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ht="12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ht="12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ht="12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ht="12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ht="12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ht="12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ht="12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ht="1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ht="12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</sheetData>
  <mergeCells count="27">
    <mergeCell ref="A31:AT33"/>
    <mergeCell ref="AS4:AS6"/>
    <mergeCell ref="AT4:AT6"/>
    <mergeCell ref="A8:A26"/>
    <mergeCell ref="AS28:AT29"/>
    <mergeCell ref="AN30:AS30"/>
    <mergeCell ref="AM4:AM6"/>
    <mergeCell ref="AN4:AN6"/>
    <mergeCell ref="AO4:AO6"/>
    <mergeCell ref="AP4:AP6"/>
    <mergeCell ref="AQ4:AQ6"/>
    <mergeCell ref="AR4:AR6"/>
    <mergeCell ref="AH4:AH6"/>
    <mergeCell ref="AI4:AI6"/>
    <mergeCell ref="AJ4:AJ6"/>
    <mergeCell ref="AK4:AK6"/>
    <mergeCell ref="AL4:AL6"/>
    <mergeCell ref="A4:A6"/>
    <mergeCell ref="B4:B6"/>
    <mergeCell ref="A1:AT1"/>
    <mergeCell ref="A2:A3"/>
    <mergeCell ref="AH2:AO2"/>
    <mergeCell ref="AP2:AP3"/>
    <mergeCell ref="AQ2:AQ3"/>
    <mergeCell ref="AR2:AR3"/>
    <mergeCell ref="AS2:AS3"/>
    <mergeCell ref="AT2:AT3"/>
  </mergeCells>
  <phoneticPr fontId="2" type="noConversion"/>
  <conditionalFormatting sqref="AH7:AO27">
    <cfRule type="cellIs" dxfId="0" priority="1" stopIfTrue="1" operator="equal">
      <formula>"N"</formula>
    </cfRule>
  </conditionalFormatting>
  <printOptions horizontalCentered="1" verticalCentered="1"/>
  <pageMargins left="0.25979166666666664" right="0.39347222447395325" top="9.6250000000000002E-2" bottom="0.27541667222976685" header="0" footer="0"/>
  <pageSetup paperSize="9" scale="6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155EB2A08DE2C418A2402A3DB7727AF" ma:contentTypeVersion="3" ma:contentTypeDescription="새 문서를 만듭니다." ma:contentTypeScope="" ma:versionID="03dbcdbeea3046112b052ec9bf1d4ba0">
  <xsd:schema xmlns:xsd="http://www.w3.org/2001/XMLSchema" xmlns:xs="http://www.w3.org/2001/XMLSchema" xmlns:p="http://schemas.microsoft.com/office/2006/metadata/properties" xmlns:ns2="16fd6e18-74b1-4337-bb0a-5ab44e5f7dab" targetNamespace="http://schemas.microsoft.com/office/2006/metadata/properties" ma:root="true" ma:fieldsID="6d608911c668248572255d85628caf8c" ns2:_="">
    <xsd:import namespace="16fd6e18-74b1-4337-bb0a-5ab44e5f7d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d6e18-74b1-4337-bb0a-5ab44e5f7d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BB6F0C-74BA-4E89-9FBE-10D82AF674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C3FA26-873F-4963-AEF8-2CC38C69ACD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DECD895-2A75-4B41-B102-BEFF5A3EC4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fd6e18-74b1-4337-bb0a-5ab44e5f7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11월(10.29.수)</vt:lpstr>
      <vt:lpstr>12월(12.01.월)</vt:lpstr>
      <vt:lpstr>2026.01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최건우</dc:creator>
  <cp:keywords/>
  <dc:description/>
  <cp:lastModifiedBy>slc0533@gmail.com</cp:lastModifiedBy>
  <cp:revision>170</cp:revision>
  <dcterms:created xsi:type="dcterms:W3CDTF">2011-04-28T07:47:54Z</dcterms:created>
  <dcterms:modified xsi:type="dcterms:W3CDTF">2026-01-14T02:39:54Z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0x010100E155EB2A08DE2C418A2402A3DB7727AF</vt:lpwstr>
  </property>
</Properties>
</file>